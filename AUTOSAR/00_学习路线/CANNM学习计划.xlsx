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1401\Desktop\学习\AUTOSAR\00_学习路线\"/>
    </mc:Choice>
  </mc:AlternateContent>
  <xr:revisionPtr revIDLastSave="0" documentId="13_ncr:1_{F1CF052D-26B3-4992-A9B7-71CE6A44AA93}" xr6:coauthVersionLast="47" xr6:coauthVersionMax="47" xr10:uidLastSave="{00000000-0000-0000-0000-000000000000}"/>
  <bookViews>
    <workbookView xWindow="-108" yWindow="-108" windowWidth="23256" windowHeight="12456" tabRatio="742" activeTab="1" xr2:uid="{00000000-000D-0000-FFFF-FFFF00000000}"/>
  </bookViews>
  <sheets>
    <sheet name="文件变更履历" sheetId="28" r:id="rId1"/>
    <sheet name="A样开发计划" sheetId="52" r:id="rId2"/>
    <sheet name="OIL表" sheetId="42" r:id="rId3"/>
    <sheet name="项目成员清单" sheetId="12" state="hidden" r:id="rId4"/>
    <sheet name="技能分析" sheetId="39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</externalReferences>
  <definedNames>
    <definedName name="\c">#REF!</definedName>
    <definedName name="\f">#REF!</definedName>
    <definedName name="\h">#REF!</definedName>
    <definedName name="__________GoA1">#N/A</definedName>
    <definedName name="_________GoA1">#N/A</definedName>
    <definedName name="_______GoA1">#N/A</definedName>
    <definedName name="______FI1" hidden="1">#REF!</definedName>
    <definedName name="______GoA1">#N/A</definedName>
    <definedName name="_____FI1" hidden="1">#REF!</definedName>
    <definedName name="_____GoA1">#N/A</definedName>
    <definedName name="____FI1" hidden="1">#REF!</definedName>
    <definedName name="____GoA1">#N/A</definedName>
    <definedName name="___1___123Graph_AChart_1E" hidden="1">[1]dt!$B$38:$R$38</definedName>
    <definedName name="___2___123Graph_AChart_1E" hidden="1">[1]dt!$B$38:$R$38</definedName>
    <definedName name="___2___123Graph_AChart_2D" hidden="1">[1]dt!$B$38:$R$38</definedName>
    <definedName name="___3___123Graph_XChart_1E" hidden="1">[1]dt!$B$37:$R$37</definedName>
    <definedName name="___4___123Graph_AChart_2D" hidden="1">[1]dt!$B$38:$R$38</definedName>
    <definedName name="___4__123Graph_AChart_1E" hidden="1">[1]dt!$B$38:$R$38</definedName>
    <definedName name="___5__123Graph_AChart_2D" hidden="1">[1]dt!$B$38:$R$38</definedName>
    <definedName name="___6___123Graph_XChart_1E" hidden="1">[1]dt!$B$37:$R$37</definedName>
    <definedName name="___6__123Graph_XChart_1E" hidden="1">[1]dt!$B$37:$R$37</definedName>
    <definedName name="___A65835" localSheetId="4">#REF!</definedName>
    <definedName name="___A65835" localSheetId="0">#REF!</definedName>
    <definedName name="___A65835">#REF!</definedName>
    <definedName name="___FI1" hidden="1">#REF!</definedName>
    <definedName name="___GoA1" localSheetId="0">'[2]Change History'!___GoA1</definedName>
    <definedName name="___GoA1">'[3]Change History'!___GoA1</definedName>
    <definedName name="___GoA2" localSheetId="0">'[2]Change History'!___GoA2</definedName>
    <definedName name="___GoA2">'[3]Change History'!___GoA2</definedName>
    <definedName name="__1___123Graph_AChart_1E" hidden="1">[4]dt!$B$38:$R$38</definedName>
    <definedName name="__10__123Graph_AChart_2D" hidden="1">[1]dt!$B$38:$R$38</definedName>
    <definedName name="__12__123Graph_XChart_1E" hidden="1">[1]dt!$B$37:$R$37</definedName>
    <definedName name="__2___123Graph_AChart_1E" hidden="1">[1]dt!$B$38:$R$38</definedName>
    <definedName name="__2___123Graph_AChart_2D" hidden="1">[4]dt!$B$38:$R$38</definedName>
    <definedName name="__3___123Graph_XChart_1E" hidden="1">[4]dt!$B$37:$R$37</definedName>
    <definedName name="__4___123Graph_AChart_2D" hidden="1">[1]dt!$B$38:$R$38</definedName>
    <definedName name="__4__123Graph_AChart_1E" hidden="1">[4]dt!$B$38:$R$38</definedName>
    <definedName name="__5__123Graph_AChart_2D" hidden="1">[4]dt!$B$38:$R$38</definedName>
    <definedName name="__6___123Graph_XChart_1E" hidden="1">[1]dt!$B$37:$R$37</definedName>
    <definedName name="__6__123Graph_XChart_1E" hidden="1">[4]dt!$B$37:$R$37</definedName>
    <definedName name="__8__123Graph_AChart_1E" hidden="1">[1]dt!$B$38:$R$38</definedName>
    <definedName name="__9__123Graph_XChart_1E" hidden="1">[1]dt!$B$37:$R$37</definedName>
    <definedName name="__FI1" hidden="1">#REF!</definedName>
    <definedName name="__GoA1" localSheetId="0">'[2]Change History'!__GoA1</definedName>
    <definedName name="__GoA1">'[3]Change History'!__GoA1</definedName>
    <definedName name="__GoA2" localSheetId="0">'[2]Change History'!__GoA2</definedName>
    <definedName name="__GoA2">'[3]Change History'!__GoA2</definedName>
    <definedName name="__L">#REF!</definedName>
    <definedName name="_1___123Graph_AChart_1E" hidden="1">[5]dt!$B$38:$R$38</definedName>
    <definedName name="_1__123Graph_AChart_1E" hidden="1">[6]dt!$B$38:$R$38</definedName>
    <definedName name="_10__123Graph_AChart_2D" hidden="1">[7]dt!$B$38:$R$38</definedName>
    <definedName name="_100__123Graph_AChart_2D" hidden="1">[8]dt!$B$38:$R$38</definedName>
    <definedName name="_104__123Graph_AChart_1E" hidden="1">[8]dt!$B$38:$R$38</definedName>
    <definedName name="_105__123Graph_AChart_2D" hidden="1">[1]dt!$B$38:$R$38</definedName>
    <definedName name="_108__123Graph_AChart_1E" hidden="1">[8]dt!$B$38:$R$38</definedName>
    <definedName name="_108__123Graph_XChart_1E" hidden="1">[8]dt!$B$37:$R$37</definedName>
    <definedName name="_114___123Graph_XChart_1E" hidden="1">[4]dt!$B$37:$R$37</definedName>
    <definedName name="_114__123Graph_XChart_1E" hidden="1">[1]dt!$B$37:$R$37</definedName>
    <definedName name="_115__123Graph_AChart_2D" hidden="1">[8]dt!$B$38:$R$38</definedName>
    <definedName name="_12__123Graph_AChart_1E" hidden="1">[8]dt!$B$38:$R$38</definedName>
    <definedName name="_12__123Graph_AChart_2D" hidden="1">[1]dt!$B$38:$R$38</definedName>
    <definedName name="_12__123Graph_XChart_1E" hidden="1">[7]dt!$B$37:$R$37</definedName>
    <definedName name="_120__123Graph_XChart_1E" hidden="1">[8]dt!$B$37:$R$37</definedName>
    <definedName name="_126__123Graph_XChart_1E" hidden="1">[1]dt!$B$37:$R$37</definedName>
    <definedName name="_130__123Graph_AChart_2D" hidden="1">[8]dt!$B$38:$R$38</definedName>
    <definedName name="_135__123Graph_AChart_2D" hidden="1">[8]dt!$B$38:$R$38</definedName>
    <definedName name="_138__123Graph_XChart_1E" hidden="1">[8]dt!$B$37:$R$37</definedName>
    <definedName name="_15__123Graph_AChart_2D" hidden="1">[8]dt!$B$38:$R$38</definedName>
    <definedName name="_15__123Graph_XChart_1E" hidden="1">[1]dt!$B$37:$R$37</definedName>
    <definedName name="_152__123Graph_AChart_1E" hidden="1">[4]dt!$B$38:$R$38</definedName>
    <definedName name="_156__123Graph_XChart_1E" hidden="1">[8]dt!$B$37:$R$37</definedName>
    <definedName name="_162__123Graph_XChart_1E" hidden="1">[8]dt!$B$37:$R$37</definedName>
    <definedName name="_18___123Graph_AChart_1E" hidden="1">[8]dt!$B$38:$R$38</definedName>
    <definedName name="_18__123Graph_XChart_1E" hidden="1">[8]dt!$B$37:$R$37</definedName>
    <definedName name="_19___123Graph_AChart_1E" hidden="1">[1]dt!$B$38:$R$38</definedName>
    <definedName name="_190__123Graph_AChart_2D" hidden="1">[4]dt!$B$38:$R$38</definedName>
    <definedName name="_2___123Graph_AChart_1E" hidden="1">[1]dt!$B$38:$R$38</definedName>
    <definedName name="_2___123Graph_AChart_2D" hidden="1">[5]dt!$B$38:$R$38</definedName>
    <definedName name="_2__123Graph_AChart_2D" hidden="1">[6]dt!$B$38:$R$38</definedName>
    <definedName name="_20___123Graph_AChart_1E" hidden="1">[8]dt!$B$38:$R$38</definedName>
    <definedName name="_21___123Graph_AChart_1E" hidden="1">[1]dt!$B$38:$R$38</definedName>
    <definedName name="_228__123Graph_XChart_1E" hidden="1">[4]dt!$B$37:$R$37</definedName>
    <definedName name="_23___123Graph_AChart_1E" hidden="1">[8]dt!$B$38:$R$38</definedName>
    <definedName name="_26___123Graph_AChart_1E" hidden="1">[8]dt!$B$38:$R$38</definedName>
    <definedName name="_27___123Graph_AChart_1E" hidden="1">[8]dt!$B$38:$R$38</definedName>
    <definedName name="_3___123Graph_AChart_1E" hidden="1">[8]dt!$B$38:$R$38</definedName>
    <definedName name="_3___123Graph_XChart_1E" hidden="1">[5]dt!$B$37:$R$37</definedName>
    <definedName name="_3__123Graph_XChart_1E" hidden="1">[6]dt!$B$37:$R$37</definedName>
    <definedName name="_33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34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35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36___123Graph_AChart_2D" hidden="1">[8]dt!$B$38:$R$38</definedName>
    <definedName name="_36b1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38___123Graph_AChart_1E" hidden="1">[4]dt!$B$38:$R$38</definedName>
    <definedName name="_38___123Graph_AChart_2D" hidden="1">[1]dt!$B$38:$R$38</definedName>
    <definedName name="_4___123Graph_AChart_2D" hidden="1">[7]dt!$B$38:$R$38</definedName>
    <definedName name="_4__123Graph_AChart_1E" hidden="1">[5]dt!$B$38:$R$38</definedName>
    <definedName name="_40___123Graph_AChart_2D" hidden="1">[8]dt!$B$38:$R$38</definedName>
    <definedName name="_40K115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42___123Graph_AChart_2D" hidden="1">[1]dt!$B$38:$R$38</definedName>
    <definedName name="_46___123Graph_AChart_2D" hidden="1">[8]dt!$B$38:$R$38</definedName>
    <definedName name="_5__123Graph_AChart_1E" hidden="1">[9]dt!$B$38:$R$38</definedName>
    <definedName name="_5__123Graph_AChart_2D" hidden="1">[5]dt!$B$38:$R$38</definedName>
    <definedName name="_52___123Graph_AChart_2D" hidden="1">[8]dt!$B$38:$R$38</definedName>
    <definedName name="_54___123Graph_AChart_2D" hidden="1">[8]dt!$B$38:$R$38</definedName>
    <definedName name="_54___123Graph_XChart_1E" hidden="1">[8]dt!$B$37:$R$37</definedName>
    <definedName name="_57___123Graph_XChart_1E" hidden="1">[1]dt!$B$37:$R$37</definedName>
    <definedName name="_6___123Graph_AChart_2D" hidden="1">[8]dt!$B$38:$R$38</definedName>
    <definedName name="_6___123Graph_XChart_1E" hidden="1">[7]dt!$B$37:$R$37</definedName>
    <definedName name="_6__123Graph_XChart_1E" hidden="1">[5]dt!$B$37:$R$37</definedName>
    <definedName name="_60___123Graph_XChart_1E" hidden="1">[8]dt!$B$37:$R$37</definedName>
    <definedName name="_63___123Graph_XChart_1E" hidden="1">[1]dt!$B$37:$R$37</definedName>
    <definedName name="_69___123Graph_XChart_1E" hidden="1">[8]dt!$B$37:$R$37</definedName>
    <definedName name="_7__123Graph_AChart_1E" hidden="1">[1]dt!$B$38:$R$38</definedName>
    <definedName name="_7__123Graph_AChart_2D" hidden="1">[10]dt!$B$38:$R$38</definedName>
    <definedName name="_72__123Graph_AChart_1E" hidden="1">[8]dt!$B$38:$R$38</definedName>
    <definedName name="_76___123Graph_AChart_2D" hidden="1">[4]dt!$B$38:$R$38</definedName>
    <definedName name="_76__123Graph_AChart_1E" hidden="1">[1]dt!$B$38:$R$38</definedName>
    <definedName name="_78___123Graph_XChart_1E" hidden="1">[8]dt!$B$37:$R$37</definedName>
    <definedName name="_8__123Graph_AChart_1E" hidden="1">[7]dt!$B$38:$R$38</definedName>
    <definedName name="_8__123Graph_AChart_2D" hidden="1">[1]dt!$B$38:$R$38</definedName>
    <definedName name="_80__123Graph_AChart_1E" hidden="1">[8]dt!$B$38:$R$38</definedName>
    <definedName name="_81___123Graph_XChart_1E" hidden="1">[8]dt!$B$37:$R$37</definedName>
    <definedName name="_84__123Graph_AChart_1E" hidden="1">[1]dt!$B$38:$R$38</definedName>
    <definedName name="_9___123Graph_XChart_1E" hidden="1">[8]dt!$B$37:$R$37</definedName>
    <definedName name="_9__123Graph_AChart_1E" hidden="1">[1]dt!$B$38:$R$38</definedName>
    <definedName name="_9__123Graph_XChart_1E" hidden="1">[9]dt!$B$37:$R$37</definedName>
    <definedName name="_90__123Graph_AChart_2D" hidden="1">[8]dt!$B$38:$R$38</definedName>
    <definedName name="_92__123Graph_AChart_1E" hidden="1">[8]dt!$B$38:$R$38</definedName>
    <definedName name="_95__123Graph_AChart_2D" hidden="1">[1]dt!$B$38:$R$38</definedName>
    <definedName name="_A65835" localSheetId="4">#REF!</definedName>
    <definedName name="_A65835" localSheetId="0">#REF!</definedName>
    <definedName name="_A65835">#REF!</definedName>
    <definedName name="_aa" hidden="1">#REF!</definedName>
    <definedName name="_bb" hidden="1">#REF!</definedName>
    <definedName name="_Dist_Bin" hidden="1">#REF!</definedName>
    <definedName name="_Dist_Values" hidden="1">#REF!</definedName>
    <definedName name="_FI1" hidden="1">#REF!</definedName>
    <definedName name="_Fill" hidden="1">#REF!</definedName>
    <definedName name="_xlnm._FilterDatabase" localSheetId="1" hidden="1">A样开发计划!$A$2:$L$531</definedName>
    <definedName name="_xlnm._FilterDatabase" localSheetId="2" hidden="1">OIL表!$A$3:$AE$107</definedName>
    <definedName name="_xlnm._FilterDatabase" hidden="1">#REF!</definedName>
    <definedName name="_GoA1" localSheetId="0">'[2]Change History'!_GoA1</definedName>
    <definedName name="_GoA1">'[3]Change History'!_GoA1</definedName>
    <definedName name="_GoA2" localSheetId="0">'[2]Change History'!_GoA2</definedName>
    <definedName name="_GoA2">'[3]Change History'!_GoA2</definedName>
    <definedName name="_Key1" hidden="1">#REF!</definedName>
    <definedName name="_Key2" hidden="1">#REF!</definedName>
    <definedName name="_ML1">[11]分类数据!$C$3</definedName>
    <definedName name="_ML10">[11]分类数据!$C$12</definedName>
    <definedName name="_ML2">[11]分类数据!$C$4</definedName>
    <definedName name="_ML3">[11]分类数据!$C$5</definedName>
    <definedName name="_ML4">[11]分类数据!$C$6</definedName>
    <definedName name="_ML5">[11]分类数据!$C$7</definedName>
    <definedName name="_ML6">[11]分类数据!$C$8</definedName>
    <definedName name="_ML7">[11]分类数据!$C$9</definedName>
    <definedName name="_ML8">[11]分类数据!$C$10</definedName>
    <definedName name="_ML9">[11]分类数据!$C$11</definedName>
    <definedName name="_Order1" hidden="1">0</definedName>
    <definedName name="_Order2" hidden="1">255</definedName>
    <definedName name="_Parse_In" hidden="1">#REF!</definedName>
    <definedName name="_Parse_Out" hidden="1">#REF!</definedName>
    <definedName name="_Sort" hidden="1">#REF!</definedName>
    <definedName name="A" localSheetId="0">#N/A</definedName>
    <definedName name="a">[12]Sctt!$B$9:$S$9</definedName>
    <definedName name="Absentteeism_shoopfloor" hidden="1">{#N/A,#N/A,FALSE,"Jahres-BWA";#N/A,#N/A,FALSE,"BWA-Plan"}</definedName>
    <definedName name="Access_Button" hidden="1">"tpds0409_RAW_DATA_0318_List"</definedName>
    <definedName name="AccessDatabase" hidden="1">"C:\WORK BASE\tpds0409.mdb"</definedName>
    <definedName name="ACON" hidden="1">{#N/A,#N/A,TRUE,"일정"}</definedName>
    <definedName name="arial">#N/A</definedName>
    <definedName name="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order" localSheetId="4">#REF!,#REF!,#REF!,#REF!,#REF!,#REF!</definedName>
    <definedName name="border" localSheetId="0">#REF!,#REF!,#REF!,#REF!,#REF!,#REF!</definedName>
    <definedName name="border">#REF!,#REF!,#REF!,#REF!,#REF!,#REF!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ture.Capture" localSheetId="0">'[2]Change History'!Capture.Capture</definedName>
    <definedName name="Capture.Capture">'[3]Change History'!Capture.Capture</definedName>
    <definedName name="Capture1.Capture1" localSheetId="0">'[2]Change History'!Capture1.Capture1</definedName>
    <definedName name="Capture1.Capture1">'[3]Change History'!Capture1.Capture1</definedName>
    <definedName name="CMRight">[13]信息定义!$L$6:$L$10</definedName>
    <definedName name="Col_Last_Target" localSheetId="4">[14]质量目标!#REF!</definedName>
    <definedName name="Col_Last_Target" localSheetId="0">[15]质量目标!#REF!</definedName>
    <definedName name="Col_Last_Target">[16]质量目标!#REF!</definedName>
    <definedName name="Col_Previous_Target" localSheetId="4">[14]质量目标!#REF!</definedName>
    <definedName name="Col_Previous_Target" localSheetId="0">[15]质量目标!#REF!</definedName>
    <definedName name="Col_Previous_Target">[16]质量目标!#REF!</definedName>
    <definedName name="compDate" localSheetId="4">[17]Matrix矩阵!$L$1</definedName>
    <definedName name="compDate" localSheetId="0">[18]Matrix矩阵!$L$1</definedName>
    <definedName name="compDate">[19]Matrix矩阵!$L$1</definedName>
    <definedName name="Compliance2">'[20]Comp Matrix - Adblue'!$N$5:$N$8</definedName>
    <definedName name="COPY">#REF!</definedName>
    <definedName name="COVER">#N/A</definedName>
    <definedName name="CUMCOMP">[12]Database!#REF!</definedName>
    <definedName name="CUMCOPM">[12]Database!#REF!</definedName>
    <definedName name="D.Analyze" hidden="1">{#N/A,#N/A,FALSE,"Jahres-BWA";#N/A,#N/A,FALSE,"BWA-Plan"}</definedName>
    <definedName name="ddf" hidden="1">{#N/A,#N/A,FALSE,"Jahres-BWA";#N/A,#N/A,FALSE,"BWA-Plan"}</definedName>
    <definedName name="descript" localSheetId="4">[17]Matrix矩阵!$F$2</definedName>
    <definedName name="descript" localSheetId="0">[18]Matrix矩阵!$F$2</definedName>
    <definedName name="descript">[19]Matrix矩阵!$F$2</definedName>
    <definedName name="Dev" hidden="1">{#N/A,#N/A,FALSE,"Jahres-BWA";#N/A,#N/A,FALSE,"BWA-Plan"}</definedName>
    <definedName name="dfdf" hidden="1">{#N/A,#N/A,FALSE,"Kennzahlen";#N/A,#N/A,FALSE,"BWA-IST";#N/A,#N/A,FALSE,"BWA-SOLL-IST";#N/A,#N/A,FALSE,"Präsentation"}</definedName>
    <definedName name="drbfm_trans" localSheetId="4">[17]Matrix矩阵!$L$4</definedName>
    <definedName name="drbfm_trans" localSheetId="0">[18]Matrix矩阵!$L$4</definedName>
    <definedName name="drbfm_trans">[19]Matrix矩阵!$L$4</definedName>
    <definedName name="drbfmNo" localSheetId="4">[17]Matrix矩阵!$F$5</definedName>
    <definedName name="drbfmNo" localSheetId="0">[18]Matrix矩阵!$F$5</definedName>
    <definedName name="drbfmNo">[19]Matrix矩阵!$F$5</definedName>
    <definedName name="e.total">[21]同行评审!$M$8</definedName>
    <definedName name="effort.ta">[17]引言!#REF!</definedName>
    <definedName name="END_INITIALS" localSheetId="0">#REF!</definedName>
    <definedName name="END_INITIALS">#REF!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dgdg" hidden="1">{#N/A,#N/A,FALSE,"Jahres-BWA";#N/A,#N/A,FALSE,"BWA-Plan"}</definedName>
    <definedName name="INITIALS" localSheetId="0">#REF!</definedName>
    <definedName name="INITIALS">#REF!</definedName>
    <definedName name="instructions" hidden="1">{#N/A,#N/A,FALSE,"Jahres-BWA";#N/A,#N/A,FALSE,"BWA-Plan"}</definedName>
    <definedName name="j" hidden="1">{#N/A,#N/A,FALSE,"Jahres-BWA";#N/A,#N/A,FALSE,"BWA-Plan"}</definedName>
    <definedName name="JULL">#REF!</definedName>
    <definedName name="JULT">#REF!</definedName>
    <definedName name="kdate" localSheetId="4">[17]Matrix矩阵!$I$2</definedName>
    <definedName name="kdate" localSheetId="0">[18]Matrix矩阵!$I$2</definedName>
    <definedName name="kdate">[19]Matrix矩阵!$I$2</definedName>
    <definedName name="kk" localSheetId="0">#N/A</definedName>
    <definedName name="kk">#N/A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" hidden="1">{#N/A,#N/A,FALSE,"Jahres-BWA";#N/A,#N/A,FALSE,"BWA-Plan"}</definedName>
    <definedName name="LA">#REF!</definedName>
    <definedName name="LM">#REF!</definedName>
    <definedName name="LookList" localSheetId="0">#REF!</definedName>
    <definedName name="LookList">#REF!</definedName>
    <definedName name="LS">#REF!</definedName>
    <definedName name="MaintCosts" hidden="1">{#N/A,#N/A,FALSE,"Kennzahlen";#N/A,#N/A,FALSE,"BWA-IST";#N/A,#N/A,FALSE,"BWA-SOLL-IST";#N/A,#N/A,FALSE,"Präsentation"}</definedName>
    <definedName name="MASTER" hidden="1">{#N/A,#N/A,TRUE,"일정"}</definedName>
    <definedName name="MeasureKind" localSheetId="0">[22]信息定义!#REF!</definedName>
    <definedName name="MeasureKind">[22]信息定义!#REF!</definedName>
    <definedName name="Moduls_XXXX" localSheetId="0">#REF!</definedName>
    <definedName name="Moduls_XXXX">#REF!</definedName>
    <definedName name="MTHCOMP">[12]Database!#REF!</definedName>
    <definedName name="MW">[12]Database!$F$1:$AB$54</definedName>
    <definedName name="my" localSheetId="4">[17]Matrix矩阵!$F$3</definedName>
    <definedName name="my" localSheetId="0">[18]Matrix矩阵!$F$3</definedName>
    <definedName name="my">[19]Matrix矩阵!$F$3</definedName>
    <definedName name="neu" hidden="1">{#N/A,#N/A,FALSE,"Jahres-BWA";#N/A,#N/A,FALSE,"BWA-Plan"}</definedName>
    <definedName name="nnn" hidden="1">{#N/A,#N/A,FALSE,"Jahres-BWA";#N/A,#N/A,FALSE,"BWA-Plan"}</definedName>
    <definedName name="ObjectType" localSheetId="4">[23]估算系数!$A$9:$A$18</definedName>
    <definedName name="ObjectType" localSheetId="0">[24]估算系数!$A$9:$A$18</definedName>
    <definedName name="ObjectType">[25]估算系数!$A$9:$A$18</definedName>
    <definedName name="other" hidden="1">{#N/A,#N/A,FALSE,"Kennzahlen";#N/A,#N/A,FALSE,"BWA-IST";#N/A,#N/A,FALSE,"BWA-SOLL-IST";#N/A,#N/A,FALSE,"Präsentation"}</definedName>
    <definedName name="OwnerList" localSheetId="4">#REF!</definedName>
    <definedName name="OwnerList" localSheetId="0">#REF!</definedName>
    <definedName name="OwnerList">#REF!</definedName>
    <definedName name="P_1">#REF!</definedName>
    <definedName name="P_2">#REF!</definedName>
    <definedName name="P_3">#REF!</definedName>
    <definedName name="P_4">#REF!</definedName>
    <definedName name="P_5">#REF!</definedName>
    <definedName name="P_6">#REF!</definedName>
    <definedName name="P_7">#REF!</definedName>
    <definedName name="P_8">#REF!</definedName>
    <definedName name="P_APQP実基">#REF!</definedName>
    <definedName name="P_APQP実基2">#REF!</definedName>
    <definedName name="PA" localSheetId="4">#REF!</definedName>
    <definedName name="PA" localSheetId="0">#REF!</definedName>
    <definedName name="PA">#REF!</definedName>
    <definedName name="personnel" hidden="1">{#N/A,#N/A,FALSE,"Jahres-BWA";#N/A,#N/A,FALSE,"BWA-Plan"}</definedName>
    <definedName name="phase">[26]分类统计!$B$20:$B$24</definedName>
    <definedName name="preparer" localSheetId="4">[17]Matrix矩阵!$I$1</definedName>
    <definedName name="preparer" localSheetId="0">[18]Matrix矩阵!$I$1</definedName>
    <definedName name="preparer">[19]Matrix矩阵!$I$1</definedName>
    <definedName name="_xlnm.Print_Area" localSheetId="4">#REF!</definedName>
    <definedName name="_xlnm.Print_Area" localSheetId="0">文件变更履历!$A$1:$D$40</definedName>
    <definedName name="_xlnm.Print_Area" localSheetId="3">项目成员清单!$B$1:$L$45</definedName>
    <definedName name="_xlnm.Print_Area">#REF!</definedName>
    <definedName name="Print_Area_MI" localSheetId="4">#REF!</definedName>
    <definedName name="Print_Area_MI" localSheetId="0">#REF!</definedName>
    <definedName name="Print_Area_MI">#REF!</definedName>
    <definedName name="_xlnm.Print_Titles">#N/A</definedName>
    <definedName name="Produktivity" hidden="1">{#N/A,#N/A,FALSE,"Jahres-BWA";#N/A,#N/A,FALSE,"BWA-Plan"}</definedName>
    <definedName name="program" localSheetId="4">[17]Matrix矩阵!$F$4</definedName>
    <definedName name="program" localSheetId="0">[18]Matrix矩阵!$F$4</definedName>
    <definedName name="program">[19]Matrix矩阵!$F$4</definedName>
    <definedName name="ProjectMembers" localSheetId="4">#REF!</definedName>
    <definedName name="ProjectMembers" localSheetId="0">#REF!</definedName>
    <definedName name="ProjectMembers">#REF!</definedName>
    <definedName name="ProjectStartDate" localSheetId="4">#REF!</definedName>
    <definedName name="ProjectStartDate" localSheetId="0">#REF!</definedName>
    <definedName name="ProjectStartDate">#REF!</definedName>
    <definedName name="qryRptWSExcelSort" localSheetId="4">#REF!</definedName>
    <definedName name="qryRptWSExcelSort" localSheetId="0">#REF!</definedName>
    <definedName name="qryRptWSExcelSort">#REF!</definedName>
    <definedName name="Recorder">#N/A</definedName>
    <definedName name="resp" localSheetId="4">[17]Matrix矩阵!$L$2</definedName>
    <definedName name="resp" localSheetId="0">[18]Matrix矩阵!$L$2</definedName>
    <definedName name="resp">[19]Matrix矩阵!$L$2</definedName>
    <definedName name="resp2" localSheetId="4">[17]Matrix矩阵!$L$3</definedName>
    <definedName name="resp2" localSheetId="0">[18]Matrix矩阵!$L$3</definedName>
    <definedName name="resp2">[19]Matrix矩阵!$L$3</definedName>
    <definedName name="revdate" localSheetId="4">[17]Matrix矩阵!$I$4</definedName>
    <definedName name="revdate" localSheetId="0">[18]Matrix矩阵!$I$4</definedName>
    <definedName name="revdate">[19]Matrix矩阵!$I$4</definedName>
    <definedName name="sd" hidden="1">{#N/A,#N/A,FALSE,"Kennzahlen";#N/A,#N/A,FALSE,"BWA-IST";#N/A,#N/A,FALSE,"BWA-SOLL-IST";#N/A,#N/A,FALSE,"Präsentation"}</definedName>
    <definedName name="sdfe" hidden="1">{#N/A,#N/A,FALSE,"Jahres-BWA";#N/A,#N/A,FALSE,"BWA-Plan"}</definedName>
    <definedName name="SDLC" localSheetId="4">#REF!</definedName>
    <definedName name="SDLC" localSheetId="0">#REF!</definedName>
    <definedName name="SDLC">#REF!</definedName>
    <definedName name="Severity">'[27]Form Identification'!$F$25:$F$26</definedName>
    <definedName name="size.ta">[17]引言!#REF!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atue" localSheetId="4">[26]List!$B$3:$B$7</definedName>
    <definedName name="Statue">[28]List!$B$3:$B$7</definedName>
    <definedName name="STATUS" localSheetId="4">[27]List!$A$2:$A$6</definedName>
    <definedName name="STATUS">[29]List!$A$2:$A$6</definedName>
    <definedName name="status1" localSheetId="4">[28]List!$A$2:$A$6</definedName>
    <definedName name="status1" localSheetId="0">[30]List!$A$2:$A$6</definedName>
    <definedName name="status1">[31]List!$A$2:$A$6</definedName>
    <definedName name="T">#REF!</definedName>
    <definedName name="t.all">[21]同行评审!#REF!</definedName>
    <definedName name="t.at">[21]同行评审!#REF!</definedName>
    <definedName name="t.dd">[21]同行评审!#REF!</definedName>
    <definedName name="t.it">[21]同行评审!#REF!</definedName>
    <definedName name="t.pd">[21]同行评审!#REF!</definedName>
    <definedName name="t.pr">[21]同行评审!#REF!</definedName>
    <definedName name="t.ra">[21]同行评审!#REF!</definedName>
    <definedName name="t.sd">[21]同行评审!#REF!</definedName>
    <definedName name="t.st1">[21]同行评审!#REF!</definedName>
    <definedName name="t.st2">[21]同行评审!#REF!</definedName>
    <definedName name="t.st3">[21]同行评审!#REF!</definedName>
    <definedName name="t.ut">[21]同行评审!#REF!</definedName>
    <definedName name="TA">#REF!</definedName>
    <definedName name="TM">#REF!</definedName>
    <definedName name="TodayDate" localSheetId="4">#REF!</definedName>
    <definedName name="TodayDate" localSheetId="0">#REF!</definedName>
    <definedName name="TodayDate">#REF!</definedName>
    <definedName name="Total.type" localSheetId="0">#REF!</definedName>
    <definedName name="Total.type">#REF!</definedName>
    <definedName name="tp.ra" localSheetId="0">[21]同行评审!#REF!</definedName>
    <definedName name="tp.ra">[21]同行评审!#REF!</definedName>
    <definedName name="TS">#REF!</definedName>
    <definedName name="TTL">#REF!</definedName>
    <definedName name="Type">'[27]Form Identification'!$H$25:$H$31</definedName>
    <definedName name="uu" hidden="1">{"pvsogedac",#N/A,FALSE,"P.Fini";"pvsogedac1",#N/A,FALSE,"SemiFini"}</definedName>
    <definedName name="Ver">'[27]Form Identification'!$I$25:$I$26</definedName>
    <definedName name="vpps" localSheetId="4">[17]Matrix矩阵!$I$3</definedName>
    <definedName name="vpps" localSheetId="0">[18]Matrix矩阵!$I$3</definedName>
    <definedName name="vpps">[19]Matrix矩阵!$I$3</definedName>
    <definedName name="VppsUsedasof41101" localSheetId="4">'[32]Level 1-3 Change Overview'!#REF!</definedName>
    <definedName name="VppsUsedasof41101" localSheetId="0">'[33]Level 1-3 Change Overview'!#REF!</definedName>
    <definedName name="VppsUsedasof41101">'[33]Level 1-3 Change Overview'!#REF!</definedName>
    <definedName name="WORKDAYS">'[34]1.概述'!$H$4</definedName>
    <definedName name="workflow1">[26]分类统计!$B$4:$B$15</definedName>
    <definedName name="WorkHardLevel" localSheetId="4">[23]估算系数!$A$2:$A$6</definedName>
    <definedName name="WorkHardLevel" localSheetId="0">[24]估算系数!$A$2:$A$6</definedName>
    <definedName name="WorkHardLevel">[25]估算系数!$A$2:$A$6</definedName>
    <definedName name="wrn.BWAPlanung." hidden="1">{#N/A,#N/A,FALSE,"Jahres-BWA";#N/A,#N/A,FALSE,"BWA-Plan"}</definedName>
    <definedName name="wrn.Capabilité." hidden="1">{"Données",#N/A,TRUE,"Tableau de données (50)";"Film",#N/A,TRUE,"Film Graphique";"Histogramme",#N/A,TRUE,"Histogramme";"Droite de Henry",#N/A,TRUE,"Droite de Henry";"Résultats",#N/A,TRUE,"Résultats"}</definedName>
    <definedName name="wrn.charge." hidden="1">{#N/A,#N/A,TRUE,"recap";#N/A,#N/A,TRUE,"650T";#N/A,#N/A,TRUE,"9001200T";#N/A,#N/A,TRUE,"1800T";#N/A,#N/A,TRUE,"PEINTURE";#N/A,#N/A,TRUE,"mods";#N/A,#N/A,TRUE,"mods (2)";#N/A,#N/A,TRUE,"mods (3)"}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Monatsbericht." hidden="1">{#N/A,#N/A,FALSE,"Kennzahlen";#N/A,#N/A,FALSE,"BWA-IST";#N/A,#N/A,FALSE,"BWA-SOLL-IST";#N/A,#N/A,FALSE,"Präsentation"}</definedName>
    <definedName name="wrn.PV." hidden="1">{"pv",#N/A,FALSE,"P.Fini";"pv1",#N/A,FALSE,"SemiFini"}</definedName>
    <definedName name="wrn.PV.2" hidden="1">{"pv",#N/A,FALSE,"P.Fini";"pv1",#N/A,FALSE,"SemiFini"}</definedName>
    <definedName name="wrn.PVPRU." hidden="1">{#N/A,#N/A,FALSE,"Projet";#N/A,#N/A,FALSE,"P.Fini";#N/A,#N/A,FALSE,"Peinture";#N/A,#N/A,FALSE,"SemiFini";#N/A,#N/A,FALSE,"ERP"}</definedName>
    <definedName name="wrn.PVPRU.2" hidden="1">{#N/A,#N/A,FALSE,"Projet";#N/A,#N/A,FALSE,"P.Fini";#N/A,#N/A,FALSE,"Peinture";#N/A,#N/A,FALSE,"SemiFini";#N/A,#N/A,FALSE,"ERP"}</definedName>
    <definedName name="wrn.PVSogedac." hidden="1">{"pvsogedac",#N/A,FALSE,"P.Fini";"pvsogedac1",#N/A,FALSE,"SemiFini"}</definedName>
    <definedName name="wrn.PVSogedac.2" hidden="1">{"pvsogedac",#N/A,FALSE,"P.Fini";"pvsogedac1",#N/A,FALSE,"SemiFini"}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원가검토서." hidden="1">{#N/A,#N/A,FALSE,"원가검토서"}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xx" hidden="1">#REF!</definedName>
    <definedName name="xxx" hidden="1">{"pvsogedac",#N/A,FALSE,"P.Fini";"pvsogedac1",#N/A,FALSE,"SemiFini"}</definedName>
    <definedName name="Z_BA7FAAF9_AF80_48F5_ADD8_53D5BA204D5F_.wvu.FilterData" localSheetId="4" hidden="1">#REF!</definedName>
    <definedName name="Z_BA7FAAF9_AF80_48F5_ADD8_53D5BA204D5F_.wvu.FilterData" localSheetId="0" hidden="1">#REF!</definedName>
    <definedName name="Z_BA7FAAF9_AF80_48F5_ADD8_53D5BA204D5F_.wvu.FilterData" hidden="1">#REF!</definedName>
    <definedName name="标定" hidden="1">{"Données",#N/A,TRUE,"Tableau de données (50)";"Film",#N/A,TRUE,"Film Graphique";"Histogramme",#N/A,TRUE,"Histogramme";"Droite de Henry",#N/A,TRUE,"Droite de Henry";"Résultats",#N/A,TRUE,"Résultats"}</definedName>
    <definedName name="标题区域..BO60" localSheetId="4">[33]任务进度!$B$3:$B$4</definedName>
    <definedName name="标题区域..BO60" localSheetId="0">[35]任务进度!$B$3:$B$4</definedName>
    <definedName name="超出完成百分比" localSheetId="4">([35]任务进度!A$4=MEDIAN([35]任务进度!A$4,[35]任务进度!$E1,[35]任务进度!$E1+[35]任务进度!$F1)*([35]任务进度!$E1&gt;0))*(([35]任务进度!A$4&lt;(INT([35]任务进度!$E1+[35]任务进度!$F1*[35]任务进度!$G1)))+([35]任务进度!A$4=[35]任务进度!$E1))*([35]任务进度!$G1&gt;0)</definedName>
    <definedName name="超出完成百分比">([36]任务进度!A$4=MEDIAN([36]任务进度!A$4,[36]任务进度!$E1,[36]任务进度!$E1+[36]任务进度!$F1)*([36]任务进度!$E1&gt;0))*(([36]任务进度!A$4&lt;(INT([36]任务进度!$E1+[36]任务进度!$F1*[36]任务进度!$G1)))+([36]任务进度!A$4=[36]任务进度!$E1))*([36]任务进度!$G1&gt;0)</definedName>
    <definedName name="担当">[37]分类数据!$D$3</definedName>
    <definedName name="等级对应值" localSheetId="4">#REF!</definedName>
    <definedName name="等级对应值" localSheetId="0">#REF!</definedName>
    <definedName name="等级对应值">#REF!</definedName>
    <definedName name="度量分類">[13]分類表BKP!$A$1:$A$15</definedName>
    <definedName name="度量中分類">[13]分類表BKP!$B$1:$B$15</definedName>
    <definedName name="改进策略" localSheetId="4">#REF!</definedName>
    <definedName name="改进策略" localSheetId="0">#REF!</definedName>
    <definedName name="改进策略">#REF!</definedName>
    <definedName name="改进机会来源" localSheetId="4">#REF!</definedName>
    <definedName name="改进机会来源" localSheetId="0">#REF!</definedName>
    <definedName name="改进机会来源">#REF!</definedName>
    <definedName name="改进机会状态" localSheetId="4">#REF!</definedName>
    <definedName name="改进机会状态" localSheetId="0">#REF!</definedName>
    <definedName name="改进机会状态">#REF!</definedName>
    <definedName name="改进类型" localSheetId="4">#REF!</definedName>
    <definedName name="改进类型" localSheetId="0">#REF!</definedName>
    <definedName name="改进类型">#REF!</definedName>
    <definedName name="工作产品">[37]分类数据!$E$3:$E$15</definedName>
    <definedName name="计划" localSheetId="1">计划中的期间*([36]任务进度!$C1&gt;0)</definedName>
    <definedName name="计划" localSheetId="4">计划中的期间*([35]任务进度!$C1&gt;0)</definedName>
    <definedName name="计划">计划中的期间*([36]任务进度!$C1&gt;0)</definedName>
    <definedName name="计划中的期间" localSheetId="4">[35]任务进度!A$4=MEDIAN([35]任务进度!A$4,[35]任务进度!$C1,[35]任务进度!$C1+[35]任务进度!$D1-1)</definedName>
    <definedName name="计划中的期间">[36]任务进度!A$4=MEDIAN([36]任务进度!A$4,[36]任务进度!$C1,[36]任务进度!$C1+[36]任务进度!$D1-1)</definedName>
    <definedName name="阶段">[37]分类数据!$B$3:$B$14</definedName>
    <definedName name="靠" localSheetId="0">#REF!</definedName>
    <definedName name="靠">#REF!</definedName>
    <definedName name="模块">[37]分类数据!$C$3</definedName>
    <definedName name="评审类别">[37]分类数据!$F$3:$F$5</definedName>
    <definedName name="任务_表1">#REF!</definedName>
    <definedName name="深度10B" hidden="1">{"Données",#N/A,TRUE,"Tableau de données (50)";"Film",#N/A,TRUE,"Film Graphique";"Histogramme",#N/A,TRUE,"Histogramme";"Droite de Henry",#N/A,TRUE,"Droite de Henry";"Résultats",#N/A,TRUE,"Résultats"}</definedName>
    <definedName name="实际超出" localSheetId="1">实际中的期间*([36]任务进度!$E1&gt;0)</definedName>
    <definedName name="实际超出" localSheetId="4">实际中的期间*([35]任务进度!$E1&gt;0)</definedName>
    <definedName name="实际超出">实际中的期间*([36]任务进度!$E1&gt;0)</definedName>
    <definedName name="实际值" localSheetId="1">(实际中的期间*([36]任务进度!$E1&gt;0))*计划中的期间</definedName>
    <definedName name="实际值" localSheetId="4">(实际中的期间*([35]任务进度!$E1&gt;0))*技能分析!计划中的期间</definedName>
    <definedName name="实际值">(实际中的期间*([36]任务进度!$E1&gt;0))*计划中的期间</definedName>
    <definedName name="实际中的期间" localSheetId="4">[35]任务进度!A$4=MEDIAN([35]任务进度!A$4,[35]任务进度!$E1,[35]任务进度!$E1+[35]任务进度!$F1-1)</definedName>
    <definedName name="实际中的期间">[36]任务进度!A$4=MEDIAN([36]任务进度!A$4,[36]任务进度!$E1,[36]任务进度!$E1+[36]任务进度!$F1-1)</definedName>
    <definedName name="完成百分比" localSheetId="1">超出完成百分比*计划中的期间</definedName>
    <definedName name="完成百分比" localSheetId="4">技能分析!超出完成百分比*技能分析!计划中的期间</definedName>
    <definedName name="完成百分比" localSheetId="0">超出完成百分比*计划中的期间</definedName>
    <definedName name="完成百分比">超出完成百分比*计划中的期间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项目总体状态">[38]!表_项目总体状况[#Data]</definedName>
    <definedName name="印刷総ページ">" =GET.DOCUMENT(50)"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周报完成比例">[39]!表_完成比例[#Data]</definedName>
    <definedName name="周期_已选择" localSheetId="4">[35]任务进度!$H$2</definedName>
    <definedName name="周期_已选择">[36]任务进度!$H$2</definedName>
    <definedName name="状态">[37]分类数据!$G$3:$G$4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" localSheetId="1">ㅣ</definedName>
    <definedName name="ㅣ">A样开发计划!ㅣ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54" i="39" l="1"/>
  <c r="BM54" i="39"/>
  <c r="BJ54" i="39"/>
  <c r="BG54" i="39"/>
  <c r="BD54" i="39"/>
  <c r="BA54" i="39"/>
  <c r="AX54" i="39"/>
  <c r="AU54" i="39"/>
  <c r="AR54" i="39"/>
  <c r="AO54" i="39"/>
  <c r="AL54" i="39"/>
  <c r="AF54" i="39"/>
  <c r="AC54" i="39"/>
  <c r="Z54" i="39"/>
  <c r="W54" i="39"/>
  <c r="T54" i="39"/>
  <c r="Q54" i="39"/>
  <c r="N54" i="39"/>
  <c r="K54" i="39"/>
  <c r="H54" i="39"/>
  <c r="E54" i="39"/>
  <c r="BP48" i="39"/>
  <c r="BP47" i="39"/>
  <c r="BP46" i="39"/>
  <c r="BP45" i="39"/>
  <c r="BP44" i="39"/>
  <c r="W44" i="39"/>
  <c r="BP43" i="39"/>
  <c r="W43" i="39"/>
  <c r="BP42" i="39"/>
  <c r="W42" i="39"/>
  <c r="BP41" i="39"/>
  <c r="W41" i="39"/>
  <c r="BP40" i="39"/>
  <c r="W40" i="39"/>
  <c r="BP39" i="39"/>
  <c r="W39" i="39"/>
  <c r="BP38" i="39"/>
  <c r="W38" i="39"/>
  <c r="BP37" i="39"/>
  <c r="W37" i="39"/>
  <c r="BP36" i="39"/>
  <c r="W36" i="39"/>
  <c r="BP35" i="39"/>
  <c r="W35" i="39"/>
  <c r="BP34" i="39"/>
  <c r="BM34" i="39"/>
  <c r="BJ34" i="39"/>
  <c r="BG34" i="39"/>
  <c r="BD34" i="39"/>
  <c r="BP33" i="39"/>
  <c r="BM33" i="39"/>
  <c r="BJ33" i="39"/>
  <c r="BG33" i="39"/>
  <c r="BD33" i="39"/>
  <c r="BP32" i="39"/>
  <c r="BM32" i="39"/>
  <c r="BJ32" i="39"/>
  <c r="BG32" i="39"/>
  <c r="BD32" i="39"/>
  <c r="BP31" i="39"/>
  <c r="BM31" i="39"/>
  <c r="BJ31" i="39"/>
  <c r="BG31" i="39"/>
  <c r="BD31" i="39"/>
  <c r="BP30" i="39"/>
  <c r="BM30" i="39"/>
  <c r="BJ30" i="39"/>
  <c r="BG30" i="39"/>
  <c r="BD30" i="39"/>
  <c r="E22" i="39"/>
  <c r="BP11" i="39"/>
  <c r="BM11" i="39"/>
  <c r="BJ11" i="39"/>
  <c r="BG11" i="39"/>
  <c r="BD11" i="39"/>
  <c r="BA11" i="39"/>
  <c r="AX11" i="39"/>
  <c r="AU11" i="39"/>
  <c r="AR11" i="39"/>
  <c r="AO11" i="39"/>
  <c r="AL11" i="39"/>
  <c r="AI11" i="39"/>
  <c r="AF11" i="39"/>
  <c r="AC11" i="39"/>
  <c r="Z11" i="39"/>
  <c r="W11" i="39"/>
  <c r="T11" i="39"/>
  <c r="Q11" i="39"/>
  <c r="N11" i="39"/>
  <c r="K11" i="39"/>
  <c r="H11" i="39"/>
  <c r="E11" i="39"/>
  <c r="Z10" i="39"/>
  <c r="T10" i="39"/>
  <c r="Q10" i="39"/>
  <c r="Z9" i="39"/>
  <c r="T9" i="39"/>
  <c r="Q9" i="39"/>
  <c r="Z8" i="39"/>
  <c r="T8" i="39"/>
  <c r="Z7" i="39"/>
  <c r="T7" i="39"/>
  <c r="A1" i="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3" authorId="0" shapeId="0" xr:uid="{00000000-0006-0000-0700-000001000000}">
      <text>
        <r>
          <rPr>
            <sz val="10"/>
            <rFont val="宋体"/>
            <family val="3"/>
            <charset val="134"/>
          </rPr>
          <t>新建：  发现问题并记录
分析中：问题分析中，尚无解决方案
实施中：已有解决方案，问题解决中
验证中：问题验证中
关闭：  验证通过关闭
挂起：  延期处理</t>
        </r>
      </text>
    </comment>
    <comment ref="E3" authorId="0" shapeId="0" xr:uid="{00000000-0006-0000-0700-000002000000}">
      <text>
        <r>
          <rPr>
            <sz val="10"/>
            <rFont val="宋体"/>
            <family val="3"/>
            <charset val="134"/>
          </rPr>
          <t>说明
S - 客户要求整改并汇报的问题
A - 问题导致的内部架构设计变更
B - 暂无此等级
C - 不属于S和A的问题</t>
        </r>
      </text>
    </comment>
  </commentList>
</comments>
</file>

<file path=xl/sharedStrings.xml><?xml version="1.0" encoding="utf-8"?>
<sst xmlns="http://schemas.openxmlformats.org/spreadsheetml/2006/main" count="1132" uniqueCount="623">
  <si>
    <t>谢升红</t>
  </si>
  <si>
    <t>葛舒平</t>
  </si>
  <si>
    <t>周能辉</t>
  </si>
  <si>
    <t>项目助理</t>
  </si>
  <si>
    <t>项目经理</t>
  </si>
  <si>
    <t>项目总监</t>
  </si>
  <si>
    <r>
      <rPr>
        <b/>
        <sz val="14"/>
        <color rgb="FF000000"/>
        <rFont val="Times New Roman"/>
        <family val="1"/>
      </rPr>
      <t xml:space="preserve">Change History  
</t>
    </r>
    <r>
      <rPr>
        <b/>
        <sz val="14"/>
        <color rgb="FF000000"/>
        <rFont val="宋体"/>
        <family val="3"/>
        <charset val="134"/>
      </rPr>
      <t>文件变更履历</t>
    </r>
  </si>
  <si>
    <r>
      <rPr>
        <sz val="11"/>
        <color rgb="FF000000"/>
        <rFont val="Times New Roman"/>
        <family val="1"/>
      </rPr>
      <t xml:space="preserve">Change Date
</t>
    </r>
    <r>
      <rPr>
        <sz val="11"/>
        <color rgb="FF000000"/>
        <rFont val="宋体"/>
        <family val="3"/>
        <charset val="134"/>
      </rPr>
      <t>修改日期</t>
    </r>
  </si>
  <si>
    <r>
      <rPr>
        <sz val="11"/>
        <rFont val="Times New Roman"/>
        <family val="1"/>
      </rPr>
      <t xml:space="preserve">Version
</t>
    </r>
    <r>
      <rPr>
        <sz val="11"/>
        <rFont val="宋体"/>
        <family val="3"/>
        <charset val="134"/>
      </rPr>
      <t>版本</t>
    </r>
  </si>
  <si>
    <t>.</t>
  </si>
  <si>
    <r>
      <rPr>
        <sz val="11"/>
        <color rgb="FF000000"/>
        <rFont val="Times New Roman"/>
        <family val="1"/>
      </rPr>
      <t xml:space="preserve">Author
</t>
    </r>
    <r>
      <rPr>
        <sz val="11"/>
        <color rgb="FF000000"/>
        <rFont val="宋体"/>
        <family val="3"/>
        <charset val="134"/>
      </rPr>
      <t>作者</t>
    </r>
  </si>
  <si>
    <t>2026/3/23</t>
  </si>
  <si>
    <t>V0.01</t>
  </si>
  <si>
    <r>
      <rPr>
        <sz val="11"/>
        <color rgb="FF000000"/>
        <rFont val="Times New Roman"/>
        <family val="1"/>
      </rPr>
      <t>1</t>
    </r>
    <r>
      <rPr>
        <sz val="11"/>
        <color rgb="FF000000"/>
        <rFont val="宋体"/>
        <family val="3"/>
        <charset val="134"/>
      </rPr>
      <t>.创建初版文档。</t>
    </r>
  </si>
  <si>
    <t>客户名称</t>
  </si>
  <si>
    <t>曹维振</t>
  </si>
  <si>
    <t>WBS</t>
  </si>
  <si>
    <t>任务项</t>
  </si>
  <si>
    <t>输出物</t>
  </si>
  <si>
    <t>工期</t>
  </si>
  <si>
    <t>计划开始时间</t>
  </si>
  <si>
    <t>计划完成时间</t>
  </si>
  <si>
    <t>实际开始时间</t>
  </si>
  <si>
    <t>实际完成时间</t>
  </si>
  <si>
    <t>完成进度</t>
  </si>
  <si>
    <t>状态</t>
  </si>
  <si>
    <t>责任人</t>
  </si>
  <si>
    <t>备注</t>
  </si>
  <si>
    <t>蔡志浩</t>
  </si>
  <si>
    <t>凌健</t>
  </si>
  <si>
    <t>张梦</t>
  </si>
  <si>
    <t>OPEN</t>
  </si>
  <si>
    <t>李辰</t>
  </si>
  <si>
    <t>张新明</t>
  </si>
  <si>
    <t>卞炳辰</t>
  </si>
  <si>
    <t>白金星</t>
  </si>
  <si>
    <t>谢立洁</t>
  </si>
  <si>
    <t>翟世欢</t>
  </si>
  <si>
    <t>吴艳芳</t>
  </si>
  <si>
    <t>樊学胜</t>
  </si>
  <si>
    <t>颜新龙</t>
  </si>
  <si>
    <t>康宇航</t>
  </si>
  <si>
    <t>王克</t>
  </si>
  <si>
    <t>杜牵</t>
  </si>
  <si>
    <t>张真</t>
  </si>
  <si>
    <t>李智</t>
  </si>
  <si>
    <t>王明伟</t>
  </si>
  <si>
    <t>张智钦</t>
  </si>
  <si>
    <t>周振通</t>
  </si>
  <si>
    <t>谯宇</t>
  </si>
  <si>
    <t>TBD</t>
  </si>
  <si>
    <t>韩立远</t>
  </si>
  <si>
    <t>Issue Initiated
问题发起</t>
  </si>
  <si>
    <t>Issue Analysis
问题分析</t>
  </si>
  <si>
    <t>Solve Issue 
问题解决</t>
  </si>
  <si>
    <t>Verify
验证</t>
  </si>
  <si>
    <t>Issue Escalate
问题升级</t>
  </si>
  <si>
    <t>Issue ID
问题ID</t>
  </si>
  <si>
    <t>status
状态</t>
  </si>
  <si>
    <t>Proposed date
提出日期</t>
  </si>
  <si>
    <t>Proposed person
提出人</t>
  </si>
  <si>
    <t>Severity level
严重等级</t>
  </si>
  <si>
    <t>Description
描述</t>
  </si>
  <si>
    <t>Root Cause Analysis
根源分析</t>
  </si>
  <si>
    <t>Responsibility Person
责任人</t>
  </si>
  <si>
    <t>Solution
解决措施</t>
  </si>
  <si>
    <t>Due date
计划解决日期</t>
  </si>
  <si>
    <t>Actual date
实际解决日期</t>
  </si>
  <si>
    <t>Verify Date
验证日期</t>
  </si>
  <si>
    <t>Verifier
验证人</t>
  </si>
  <si>
    <t>Verify Result
验证结果</t>
  </si>
  <si>
    <t>If need jump to emergency problem handling
是否需要启动紧急问题处理</t>
  </si>
  <si>
    <t>If need jump to alert notification
是否需要提交警报通知</t>
  </si>
  <si>
    <t>IF need to propose CR
是否需要提交变更请求</t>
  </si>
  <si>
    <t>Comment
备注（质控建议）</t>
  </si>
  <si>
    <t>20102-001</t>
  </si>
  <si>
    <t>关闭</t>
  </si>
  <si>
    <t>A-Critical</t>
  </si>
  <si>
    <t>动力总成型号及样件，看看客户是否可以提供？</t>
  </si>
  <si>
    <t>需要搭测试台架，要考虑是否我们自行购买</t>
  </si>
  <si>
    <t>4/9：客户告知下周先提供一套动力总成，里面包含控制器包含功率砖且已经接好线束，我们的控制器样件出来后只需要更换控制器就行，同步沟通多合一控制器下周会给到我们几个报废的我们带回分析。另外，客户告知我们如果需要购买整车，就购买V8E微面或是小卡都行，电机需要购买F3E的，一共两款电机一款是汇川的 一款是威迈斯的，都是贴牌的，我们买车时需要拍下底盘的照片给到宋斌确认后再进行购买。
4/10：客户下周四才能提供
4/16：总成控制器已往天津寄出</t>
  </si>
  <si>
    <r>
      <rPr>
        <strike/>
        <sz val="9"/>
        <color rgb="FF000000"/>
        <rFont val="微软雅黑"/>
        <family val="2"/>
        <charset val="134"/>
      </rPr>
      <t>2026/4/15</t>
    </r>
    <r>
      <rPr>
        <sz val="9"/>
        <color rgb="FF000000"/>
        <rFont val="微软雅黑"/>
        <family val="2"/>
        <charset val="134"/>
      </rPr>
      <t xml:space="preserve">
2026/4/16</t>
    </r>
  </si>
  <si>
    <t>20102-002</t>
  </si>
  <si>
    <t>BMS 相关软件需求未完成对接，系统跟进收集相关资料</t>
  </si>
  <si>
    <t>客户文件未给齐</t>
  </si>
  <si>
    <t>4/9：软件统计所需资料，4/10跟客户开会沟通
4/15：相关资料已收到</t>
  </si>
  <si>
    <t>20102-003</t>
  </si>
  <si>
    <t>旋变轴可以先看规格书来确认加工</t>
  </si>
  <si>
    <t>暂未采购到连接轴</t>
  </si>
  <si>
    <t>刘青山</t>
  </si>
  <si>
    <t>4/9：支架已设计，由于目前还没有转子，需等下周客户提供总成再设计，需要到4/16
4/18：转子暂时还没有，已发起采购，预计4/30前到货
4/24：目前电机和转子合同还未走完
4/27：已根据规格书设计</t>
  </si>
  <si>
    <r>
      <rPr>
        <strike/>
        <sz val="9"/>
        <color rgb="FF000000"/>
        <rFont val="微软雅黑"/>
        <family val="2"/>
        <charset val="134"/>
      </rPr>
      <t>2026/4/10</t>
    </r>
    <r>
      <rPr>
        <sz val="9"/>
        <color rgb="FF000000"/>
        <rFont val="微软雅黑"/>
        <family val="2"/>
        <charset val="134"/>
      </rPr>
      <t xml:space="preserve">
</t>
    </r>
    <r>
      <rPr>
        <strike/>
        <sz val="9"/>
        <color rgb="FF000000"/>
        <rFont val="微软雅黑"/>
        <family val="2"/>
        <charset val="134"/>
      </rPr>
      <t>2026/4/16</t>
    </r>
    <r>
      <rPr>
        <sz val="9"/>
        <color rgb="FF000000"/>
        <rFont val="微软雅黑"/>
        <family val="2"/>
        <charset val="134"/>
      </rPr>
      <t xml:space="preserve">
2026/4/30</t>
    </r>
  </si>
  <si>
    <t>20102-004</t>
  </si>
  <si>
    <t>找客户要个BMS子板</t>
  </si>
  <si>
    <t>要搭测试台架使用</t>
  </si>
  <si>
    <t>4/9：已经告知电池工程师，预计下周会尽快给我们提供。
4/18：客户暂未提供，市场还在和客户沟通
4/20：客户已提供，问题关闭</t>
  </si>
  <si>
    <r>
      <rPr>
        <strike/>
        <sz val="9"/>
        <color rgb="FF000000"/>
        <rFont val="微软雅黑"/>
        <family val="2"/>
        <charset val="134"/>
      </rPr>
      <t>2026/4/15</t>
    </r>
    <r>
      <rPr>
        <sz val="9"/>
        <color rgb="FF000000"/>
        <rFont val="微软雅黑"/>
        <family val="2"/>
        <charset val="134"/>
      </rPr>
      <t xml:space="preserve">
</t>
    </r>
    <r>
      <rPr>
        <strike/>
        <sz val="9"/>
        <color rgb="FF000000"/>
        <rFont val="微软雅黑"/>
        <family val="2"/>
        <charset val="134"/>
      </rPr>
      <t>2026/4/16</t>
    </r>
    <r>
      <rPr>
        <sz val="9"/>
        <color rgb="FF000000"/>
        <rFont val="微软雅黑"/>
        <family val="2"/>
        <charset val="134"/>
      </rPr>
      <t xml:space="preserve">
2026/4/30</t>
    </r>
  </si>
  <si>
    <t>20102-005</t>
  </si>
  <si>
    <t>硬件PCB投产时间，是否等拿到客户总成确认后投产</t>
  </si>
  <si>
    <t>目前未拿到总成，不确定跟对标件有什么差异</t>
  </si>
  <si>
    <t>4/10：硬件先投，不行再做A+样，先定4/14发布投产，今天出BOM</t>
  </si>
  <si>
    <t>20102-006</t>
  </si>
  <si>
    <t>客户资料分为VCU,MCU,BMS，现开发通讯协议等资料需要整合</t>
  </si>
  <si>
    <t>客户资源未系统的整理，需要整合</t>
  </si>
  <si>
    <t>4/10：下午跟客户开会后确认时间
4/13：资料樊学胜已整理完成并上传到SVN，问题关闭</t>
  </si>
  <si>
    <t>20102-007</t>
  </si>
  <si>
    <t>硬件功能安全设计规范需要硬件释放，并且联合内部进行功能安全评审</t>
  </si>
  <si>
    <t>尽快确认设计规范，开始开发任务</t>
  </si>
  <si>
    <t>4/23：节后再开始功能安全
5/10：已给谯宇发过一版   XCU硬件功能安全设计需求信息汇总_20260422</t>
  </si>
  <si>
    <r>
      <rPr>
        <strike/>
        <sz val="9"/>
        <color rgb="FF000000"/>
        <rFont val="微软雅黑"/>
        <family val="2"/>
        <charset val="134"/>
      </rPr>
      <t>2026/4/23</t>
    </r>
    <r>
      <rPr>
        <sz val="9"/>
        <color rgb="FF000000"/>
        <rFont val="微软雅黑"/>
        <family val="2"/>
        <charset val="134"/>
      </rPr>
      <t xml:space="preserve">
2026/5/10</t>
    </r>
  </si>
  <si>
    <t>20102-008</t>
  </si>
  <si>
    <t>B-Major</t>
  </si>
  <si>
    <t>和客户确下功能安全的硬件有无评审需求及计划</t>
  </si>
  <si>
    <t>客户目前没有明确计划</t>
  </si>
  <si>
    <t>4/23：节后再开始功能安全
5/10：已在和客户进行信息交互
5/20：客户回复7月初给开发需求
7/7：客户目前没有计划，内部先开始做</t>
  </si>
  <si>
    <r>
      <rPr>
        <strike/>
        <sz val="9"/>
        <color rgb="FF000000"/>
        <rFont val="微软雅黑"/>
        <family val="2"/>
        <charset val="134"/>
      </rPr>
      <t>2026/4/20</t>
    </r>
    <r>
      <rPr>
        <sz val="9"/>
        <color rgb="FF000000"/>
        <rFont val="微软雅黑"/>
        <family val="2"/>
        <charset val="134"/>
      </rPr>
      <t xml:space="preserve">
</t>
    </r>
    <r>
      <rPr>
        <strike/>
        <sz val="9"/>
        <color rgb="FF000000"/>
        <rFont val="微软雅黑"/>
        <family val="2"/>
        <charset val="134"/>
      </rPr>
      <t>2026/5/10</t>
    </r>
    <r>
      <rPr>
        <sz val="9"/>
        <color rgb="FF000000"/>
        <rFont val="微软雅黑"/>
        <family val="2"/>
        <charset val="134"/>
      </rPr>
      <t xml:space="preserve">
2026/5/30</t>
    </r>
  </si>
  <si>
    <t>20102-009</t>
  </si>
  <si>
    <t>CIA和DIA签署计划及对接人员需要确认</t>
  </si>
  <si>
    <t>需尽快跟客户签署，再开始开发任务</t>
  </si>
  <si>
    <t>20102-010</t>
  </si>
  <si>
    <t>陈启月</t>
  </si>
  <si>
    <t>硬件接插件位置铺铜设置下版修正</t>
  </si>
  <si>
    <t>设计缺陷</t>
  </si>
  <si>
    <t>下一版修改</t>
  </si>
  <si>
    <t>20102-011</t>
  </si>
  <si>
    <t>PCB板元件贴装位置内有丝印</t>
  </si>
  <si>
    <t>20102-012</t>
  </si>
  <si>
    <t>PCB插件孔径与插针规格不匹配，孔径偏小、插针偏粗(影响插件透锡)</t>
  </si>
  <si>
    <t>20102-013</t>
  </si>
  <si>
    <t>拖锡焊盘距离太近，有连焊风险</t>
  </si>
  <si>
    <t>20102-014</t>
  </si>
  <si>
    <t>插件物料相似度高，人员手插有插错风险</t>
  </si>
  <si>
    <t>下一版修改（PCB板增加A&amp;B丝印标识与插件上A&amp;B标识相对应）</t>
  </si>
  <si>
    <t>20102-015</t>
  </si>
  <si>
    <t>插件下方贴片元件距离插针太近，有磕碰风险</t>
  </si>
  <si>
    <t>下一版修改
已修改部分物料，但是大部分无法挪走</t>
  </si>
  <si>
    <t>20102-016</t>
  </si>
  <si>
    <t>L1300&amp;L1302&amp;C1304&amp;C1308&amp;C1307点位元件间距太小，回流过炉后存在相邻元件贴合干涉、扎堆拥挤不良的风险</t>
  </si>
  <si>
    <t>20102-017</t>
  </si>
  <si>
    <t>三个二极管需要调整的问题</t>
  </si>
  <si>
    <t>设计失误</t>
  </si>
  <si>
    <t>20102-018</t>
  </si>
  <si>
    <t>S-Special</t>
  </si>
  <si>
    <t>Core4和Core5运行不起来，影响基础工程交付，延期一天。</t>
  </si>
  <si>
    <t>4/30：软件已解决</t>
  </si>
  <si>
    <t>20102-019</t>
  </si>
  <si>
    <t>Core3(MCU核)做100us测试时发现放电机算法的代码后，100us中断执行时间超了（但是相同代码在PDCU1.0就是正常的），需要继续查找这个问题，初步定位国芯MCAL的问题(不能打开编译选项Speed）,国芯正在找问题</t>
  </si>
  <si>
    <t>4/30：已完成优化选项的开启，但是执行时间还是太长，今天和吉利做了一次对接，挑出来不用放到中断里的功能代码，优化中断中的调用代码</t>
  </si>
  <si>
    <t>20102-020</t>
  </si>
  <si>
    <t>下电函数失效，需要再优化一下，与基础工程一并释放</t>
  </si>
  <si>
    <t>4/30：BSW自测已完成，准备合并到基础工程释放测试。</t>
  </si>
  <si>
    <t>20102-021</t>
  </si>
  <si>
    <t>国芯的PIN251 Port当SPI的片选，但是应该使用为FCCU的Eout，FCCU的实际EOUT PIN249，但是这个port会受到FCCU的影响，SPI无法通信，但是SPI目前成组也无法随意改变</t>
  </si>
  <si>
    <t>芯片缺陷，通过硬件重新分配管脚修改</t>
  </si>
  <si>
    <t>5/6：下版硬件修改</t>
  </si>
  <si>
    <t>20102-022</t>
  </si>
  <si>
    <t>申屠凯利</t>
  </si>
  <si>
    <t>电机的电流采样滤波电路下一版需要升级，不然软件采到的毛刺太大</t>
  </si>
  <si>
    <t>根据实际测试结果优化PCB</t>
  </si>
  <si>
    <t>5/7：下版硬件修改
5/22：硬件已预留二阶滤波电路设计</t>
  </si>
  <si>
    <t>20102-023</t>
  </si>
  <si>
    <t>首帧报文预期时间120ms，实际测试时间300ms</t>
  </si>
  <si>
    <t>2026.5.9：分析一下启动时间具体是怎么消耗的
明日优化DMA初始化时间。优化Boot中Ram的初始化时间，之后再看启动时间消耗，再汇报
2026.5.15：boot共114ms  预计能够缩短到94ms      
BSW汇编初始化61ms(正在定位为什么使用DMA还是花费这么久)  
BSW main到10ms task 是125ms-正逐点分析
2026.5.18：
SDADC初始化占了100ms，国芯正在找问题</t>
  </si>
  <si>
    <t>7/7：目前已做到180ms，并和客户取得认可，问题关闭</t>
  </si>
  <si>
    <r>
      <rPr>
        <strike/>
        <sz val="9"/>
        <color rgb="FF000000"/>
        <rFont val="微软雅黑"/>
        <family val="2"/>
        <charset val="134"/>
      </rPr>
      <t>2026/5/30</t>
    </r>
    <r>
      <rPr>
        <sz val="9"/>
        <color rgb="FF000000"/>
        <rFont val="微软雅黑"/>
        <family val="2"/>
        <charset val="134"/>
      </rPr>
      <t xml:space="preserve">
2026/6/30</t>
    </r>
  </si>
  <si>
    <t>20102-024</t>
  </si>
  <si>
    <t>AFE激活问题，控制器频繁重启导致AFE每2s进行一次激活</t>
  </si>
  <si>
    <t>控制器休眠后，开5V_ST，9015会异常激活，查看波形，下电后SBC RST拉低，此时单片机管脚的9015ERRQ会把桥接芯片的ERRQ拉低，大概有2.5V压降，导致PNP导通，从而激活SBC</t>
  </si>
  <si>
    <t>硬件去掉进入MCU的IO控制</t>
  </si>
  <si>
    <t>20102-025</t>
  </si>
  <si>
    <t>OS task运行周期不准</t>
  </si>
  <si>
    <t>目前直驱的引脚做成了异步工作状态，导致无法进行task时间测量
改为真正直驱的输出管脚进行测量发现Core0还有任务溢出，原因为：
ore0负载率高是AFE没有连接从机，它占了8.9ms
Core4任务有溢出，主要是因为CANif和底软合格性测试程序两方面持续请求CAN发送，造成任务过重</t>
  </si>
  <si>
    <t xml:space="preserve">1.AFE的问题解决方法为改为异步通讯
2.Core4的解决方法是取消canif的发送请求
2026.5.22：下周验证
已验证完成，问题关闭
</t>
  </si>
  <si>
    <t>20102-026</t>
  </si>
  <si>
    <t>PWM1~7高电平采集异常（Get_IO_result）在正式的Git分支上无法读到正确的章台，然后IO配置表的改成const就行了，怀疑可能存在内存溢出</t>
  </si>
  <si>
    <t>测试程序缺陷，需要修改</t>
  </si>
  <si>
    <t>李智现在底软合格性测试程序上分析下，尝试找一下原因</t>
  </si>
  <si>
    <t>20102-027</t>
  </si>
  <si>
    <t>CAN终止、busoff、buserr、不同波特率,LIN不同波特率无接口</t>
  </si>
  <si>
    <t>根据实际测试需求进行了功能划分</t>
  </si>
  <si>
    <t>已经决定了制作CAN busoff ，buserr测试</t>
  </si>
  <si>
    <t>20102-028</t>
  </si>
  <si>
    <t>HVDriver_5V、Driver_5V、12VSENSOR1使能不输出不起作用</t>
  </si>
  <si>
    <t>已经解决，复测已通过</t>
  </si>
  <si>
    <t>20102-029</t>
  </si>
  <si>
    <t>静音模式-CANF无法取消静音</t>
  </si>
  <si>
    <t>标定取消静音未成功接收到标定值</t>
  </si>
  <si>
    <t>更改上位机发送两帧标定的时间</t>
  </si>
  <si>
    <t>20102-030</t>
  </si>
  <si>
    <t>CANB唤醒源测试异常</t>
  </si>
  <si>
    <t>复测已通过</t>
  </si>
  <si>
    <t>20102-031</t>
  </si>
  <si>
    <t>PWMOUT7-9 上电240ms内输出有效，需求要求不能有效</t>
  </si>
  <si>
    <t>该引脚为高边输出引脚，初始化期间应该为低电平状态，报此问题是理解有误导致的</t>
  </si>
  <si>
    <t>复测已通过，该引脚为高边输出引脚，初始化期间应该为低电平状态</t>
  </si>
  <si>
    <t>20102-032</t>
  </si>
  <si>
    <t>高边驱动、低边驱动诊断严重故障无接口，无法标定恢复问题</t>
  </si>
  <si>
    <r>
      <rPr>
        <sz val="9"/>
        <color rgb="FF000000"/>
        <rFont val="微软雅黑"/>
        <family val="2"/>
        <charset val="134"/>
      </rPr>
      <t xml:space="preserve">低边驱动LS9-LS12短电源严重故障标定恢复复测通过；
低边驱动LS8-LS10过流严重故障标定恢复复测通过；
</t>
    </r>
    <r>
      <rPr>
        <sz val="9"/>
        <rFont val="微软雅黑"/>
        <family val="2"/>
        <charset val="134"/>
      </rPr>
      <t>高边驱动HS1-HS10短地严重故障标定恢复复测已通过。</t>
    </r>
  </si>
  <si>
    <t>20102-033</t>
  </si>
  <si>
    <t>电机软解还有一个周期2.5ms的位置估算跌落，大约在90000RPM下会跌落0.08弧度，需要测试确认角度估算是否还有隐藏问题</t>
  </si>
  <si>
    <t>是光编传感器本身带入的波动，非旋变软解的问题</t>
  </si>
  <si>
    <t>无</t>
  </si>
  <si>
    <t>20102-034</t>
  </si>
  <si>
    <t>电机RDC单侧短路故障阈值需要重新标定，当前还有误诊段的情况</t>
  </si>
  <si>
    <t>代码问题，优化代码</t>
  </si>
  <si>
    <t>标定值为5000</t>
  </si>
  <si>
    <t>20102-035</t>
  </si>
  <si>
    <t>电机RDC里目前先更新时间戳，再更新积分结果，应该反过来</t>
  </si>
  <si>
    <t>RDC处理逻辑改为先读取积分结果，成功后更新时间戳</t>
  </si>
  <si>
    <t>20102-036</t>
  </si>
  <si>
    <t>电机相电流采样处于ADC3大模块下，电流转换请求会被ADC3下的10ms周期转换的ADC通道影响，导致转换动作被延期</t>
  </si>
  <si>
    <t>芯片本身问题，优化代码解决</t>
  </si>
  <si>
    <t>1. 将ADC3下其它ADC Group的转换触发源改为ATOM的上升沿触发，避开同时请求转换的可能性
2. 将电流转换请求抢占机制使能</t>
  </si>
  <si>
    <t>20102-037</t>
  </si>
  <si>
    <t>FOC中断读取电流值时，需要判断电流转换是否完成，当前的判断逻辑可能会与DMA搬运冲突，导致有无法读到的风险</t>
  </si>
  <si>
    <t>为了规避DMA冲突的问题，改为软件直接在中断内读取RFIFO的原始电流值，使用FOC中断读取FISR来手工处理RFIFO完成状态</t>
  </si>
  <si>
    <r>
      <rPr>
        <sz val="9"/>
        <color rgb="FF000000"/>
        <rFont val="微软雅黑"/>
        <family val="2"/>
        <charset val="134"/>
      </rPr>
      <t>电流采样的完成的识别方式改为：使用FOC中断读取FISR来手工处理RFIFO完成状态，进入FOC中断后，完成标志等待时间内，用软解计算来过度，需要调整FOC的代码时序。</t>
    </r>
    <r>
      <rPr>
        <sz val="9"/>
        <color rgb="FFFF0000"/>
        <rFont val="微软雅黑"/>
        <family val="2"/>
        <charset val="134"/>
      </rPr>
      <t>当前国芯正在支持处理RFIFO读取结果乱序问题
20250522：为了屏蔽明伟测试分支电流跌落的影响，在ADC读取的地方加了中断保护的函数，需要注意退回
20260626：状态无更新，最新软件复测问题依然还在，只能继续保留临时方案
20260713：软件测试完成，合并主分支</t>
    </r>
  </si>
  <si>
    <t>20102-038</t>
  </si>
  <si>
    <t xml:space="preserve">对FOC算法模型，RDC软解模块做运行时间优化
国芯参考信息：整个控制算法50us，全部放ITCM/DTCM跑可以到30us，Const型还是看访问次数和访问数据量，再来综合评估是否要改
</t>
  </si>
  <si>
    <t>5/22：所有CDD放到local ram运行，模型的code和bss放到local ram，标定量放到Sysram；sin/cos放在100us，加RAW值补偿补丁；RAM上运行Code和Bss,标定量放FLASH； 电流转换mainfunction和RDC先后顺序</t>
  </si>
  <si>
    <t>20102-039</t>
  </si>
  <si>
    <t>电机定子NTC温度采集，P和N反了</t>
  </si>
  <si>
    <t>应用层模型适应反过来的状态</t>
  </si>
  <si>
    <t>20102-040</t>
  </si>
  <si>
    <t>XCU Core3周期任务配置需求错误，需要重新提需求</t>
  </si>
  <si>
    <t>软件需求分配问题 ，重新分配XCU内核分配</t>
  </si>
  <si>
    <t>杨欣鹏</t>
  </si>
  <si>
    <t>完成OS配置升级</t>
  </si>
  <si>
    <t>20102-041</t>
  </si>
  <si>
    <t>目前电机测试分支与XCU主线的外设频率不一致，SDADC尝试改为主线一样改了有问题</t>
  </si>
  <si>
    <t>原来GTM为200M主频，因此可以支持666K的频率，外设总线降低频率倒300M后，GTM只能分频到100M，励磁周期需要调整到333K，测试通过</t>
  </si>
  <si>
    <t>20102-043</t>
  </si>
  <si>
    <t>9015在未使能故障唤醒时，仍可唤醒（FAE需要同英飞凌沟通后回复）</t>
  </si>
  <si>
    <t>芯片寄存器配置问题</t>
  </si>
  <si>
    <t>AFE那个激活的问题按照技术支持的给的配置方式解决了</t>
  </si>
  <si>
    <t>20102-044</t>
  </si>
  <si>
    <t>特定扩展帧、特定标准帧激活，用非特定扩展帧、特定标准帧能激活；</t>
  </si>
  <si>
    <t>1145休眠后遇到总线报文，会去识别，状态从Offline Mode 跳转到Offline Bias Mode，静态功耗是会有变化的，属于正常现象</t>
  </si>
  <si>
    <t>2026.5.20日已解决</t>
  </si>
  <si>
    <t>20102-045</t>
  </si>
  <si>
    <t>低边驱动LS1-LS8默认状态和闭合状态与预期不符</t>
  </si>
  <si>
    <t>底软中有低边控制的测试代码，在两边一起控制低边引脚</t>
  </si>
  <si>
    <t>更新底软最新工程</t>
  </si>
  <si>
    <t>20102-046</t>
  </si>
  <si>
    <t>LIN通讯测试：如果从机响应最后一位数据正好和主机校验码相同，则主机返回值错误</t>
  </si>
  <si>
    <t>正常现象</t>
  </si>
  <si>
    <t>LIN接收正常完成接收工作</t>
  </si>
  <si>
    <t>20102-047</t>
  </si>
  <si>
    <t>LIN通讯测试：出现无LIN通讯异常，只有重新插拔LIN驱动线才有LIN通讯</t>
  </si>
  <si>
    <t>测试程序问题，修改测试程序</t>
  </si>
  <si>
    <t>下周在追</t>
  </si>
  <si>
    <t>20102-048</t>
  </si>
  <si>
    <t>常电激活下电功能UBD测试，有报文发出，驱动有效，不符合（预期为无报文发出，无驱动）</t>
  </si>
  <si>
    <t>底软修改</t>
  </si>
  <si>
    <t>新龙已经解决，之后释放合格性测试</t>
  </si>
  <si>
    <t>20102-049</t>
  </si>
  <si>
    <t>硬件复位（11 00）不能复位</t>
  </si>
  <si>
    <t>上版本软件未开发，补充开发即可</t>
  </si>
  <si>
    <t>程序已自测验证，等待台架合格性测试</t>
  </si>
  <si>
    <t>20102-050</t>
  </si>
  <si>
    <t>调用Mcu_LLD_PerformReset暂无接口</t>
  </si>
  <si>
    <t>Interface中不存在对应接口，实际需要引用</t>
  </si>
  <si>
    <t>使用extern从MACL引用该函数</t>
  </si>
  <si>
    <t>20102-051</t>
  </si>
  <si>
    <t>电机驱动板EXT_DRV_ASC_FB（J1700-13）IO采集测试</t>
  </si>
  <si>
    <t>该引脚与需求中的DBC未对齐</t>
  </si>
  <si>
    <t>更新测试程序进行对齐</t>
  </si>
  <si>
    <t>20102-052</t>
  </si>
  <si>
    <t>整理硬件未测试项进行风险评估及评审</t>
  </si>
  <si>
    <t>目前计划紧张，无法在A样上完成所有测试，所以需要品评估风险</t>
  </si>
  <si>
    <t>刘洪发</t>
  </si>
  <si>
    <t>5/21：已完成</t>
  </si>
  <si>
    <t>20102-053</t>
  </si>
  <si>
    <t>与客户确认DV摸底测试需求及负载实现方式</t>
  </si>
  <si>
    <t>跟客户确认测试项及测试要求，需评估是否需要做新的负载板</t>
  </si>
  <si>
    <t>20102-054</t>
  </si>
  <si>
    <t>准备系统测试大纲及资源需求清单进行评审</t>
  </si>
  <si>
    <t>凌健/张新明</t>
  </si>
  <si>
    <t>5/27：已完成预评审
5/28：已完成评审</t>
  </si>
  <si>
    <t>20102-055</t>
  </si>
  <si>
    <t>整理并发布硬件修改OIL表供团队评审</t>
  </si>
  <si>
    <t>确认有无问题遗漏项</t>
  </si>
  <si>
    <t>20102-056</t>
  </si>
  <si>
    <t>下周合格性测试前需对案例进行删减评审</t>
  </si>
  <si>
    <t>确认下周时间是否来得及测试全部案例</t>
  </si>
  <si>
    <t>当前的案例下周可以重新测一下</t>
  </si>
  <si>
    <t>20102-057</t>
  </si>
  <si>
    <t>跟客户确认关于MCU性能测试是否可以使用他们的台架，并双方一起配合测试</t>
  </si>
  <si>
    <t>需要提前考虑测试台架资源</t>
  </si>
  <si>
    <t>已和客户沟通，由客户自己来做，我们配合即可</t>
  </si>
  <si>
    <t>20102-058</t>
  </si>
  <si>
    <t>解决中</t>
  </si>
  <si>
    <r>
      <rPr>
        <sz val="11"/>
        <color theme="1"/>
        <rFont val="宋体"/>
        <family val="3"/>
        <charset val="134"/>
      </rPr>
      <t>周期测试：</t>
    </r>
    <r>
      <rPr>
        <sz val="11"/>
        <color theme="1"/>
        <rFont val="default"/>
        <family val="1"/>
      </rPr>
      <t>CAND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default"/>
        <family val="1"/>
      </rPr>
      <t>CANE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default"/>
        <family val="1"/>
      </rPr>
      <t>CANG</t>
    </r>
    <r>
      <rPr>
        <sz val="11"/>
        <color theme="1"/>
        <rFont val="宋体"/>
        <family val="3"/>
        <charset val="134"/>
      </rPr>
      <t>上电后第一个周期最小值为</t>
    </r>
    <r>
      <rPr>
        <sz val="11"/>
        <color theme="1"/>
        <rFont val="default"/>
        <family val="1"/>
      </rPr>
      <t>7.2ms</t>
    </r>
    <r>
      <rPr>
        <sz val="11"/>
        <color theme="1"/>
        <rFont val="宋体"/>
        <family val="3"/>
        <charset val="134"/>
      </rPr>
      <t>超出</t>
    </r>
    <r>
      <rPr>
        <sz val="11"/>
        <color theme="1"/>
        <rFont val="default"/>
        <family val="1"/>
      </rPr>
      <t>10ms±20%</t>
    </r>
    <r>
      <rPr>
        <sz val="11"/>
        <color theme="1"/>
        <rFont val="宋体"/>
        <family val="3"/>
        <charset val="134"/>
      </rPr>
      <t>卡控（图为</t>
    </r>
    <r>
      <rPr>
        <sz val="11"/>
        <color theme="1"/>
        <rFont val="default"/>
        <family val="1"/>
      </rPr>
      <t>CANG</t>
    </r>
    <r>
      <rPr>
        <sz val="11"/>
        <color theme="1"/>
        <rFont val="宋体"/>
        <family val="3"/>
        <charset val="134"/>
      </rPr>
      <t>周期测试）。</t>
    </r>
    <r>
      <rPr>
        <sz val="11"/>
        <color theme="1"/>
        <rFont val="default"/>
        <family val="1"/>
      </rPr>
      <t>CANSM_mainfunction</t>
    </r>
    <r>
      <rPr>
        <sz val="11"/>
        <color theme="1"/>
        <rFont val="宋体"/>
        <family val="3"/>
        <charset val="134"/>
      </rPr>
      <t>对前几帧报文影响很大哦，需要外包查查</t>
    </r>
  </si>
  <si>
    <t>CAN卡没有连接导致CAN通讯拥堵，恢复后报文会有一个周期不稳定</t>
  </si>
  <si>
    <t>只连接一路can设备，其他未连接的第一个周期和第二个周期的执行时间不一致，导致发送报文时间点存在误差，都接上或是只测试发送在最前面的那个节点</t>
  </si>
  <si>
    <t>20102-059</t>
  </si>
  <si>
    <t>调整硬件初始化时序，建议先初始化SDADC，再起励磁，再起FOC</t>
  </si>
  <si>
    <t>当前时序有优化空间，根据描述对代码执行进行优化</t>
  </si>
  <si>
    <t>20102-060</t>
  </si>
  <si>
    <t>软解，硬件故障阈值等交付算法现场标定量简要说明</t>
  </si>
  <si>
    <t>20102-061</t>
  </si>
  <si>
    <t>低转速30-50RPM下，电流波形就不好看了，改成1000Rpm会有所改善，因为目前没做死区补偿的标定</t>
  </si>
  <si>
    <t>在启动系统性能测试前，完成死区补偿标定</t>
  </si>
  <si>
    <t>20102-062</t>
  </si>
  <si>
    <t>电机故障中断ICU初始化放哪个核需要确认，1.中间版本有挪过核，需要MCAL的初始化配置和核的配置保持一致。2.DC2和V相电流测试点位要屏蔽，初始化时序应当正确 3. 模拟排线输入电压进了板子以后毛刺很多，会误触发，软件要自动做过滤</t>
  </si>
  <si>
    <t>硬件电路和软件代码都有问题，先按照硬件修改软件</t>
  </si>
  <si>
    <t>软件把故障中断放在Core3，优先级高于FOC，当故障条件满足时，起一次中断后就关闭中断，等到用户主动清除故障后，恢复中断和输出使能</t>
  </si>
  <si>
    <t>20102-063</t>
  </si>
  <si>
    <t>软件控制时，U和W需要对调才能控制，是客户ICD错误，已确认HSI和ICD需要更新</t>
  </si>
  <si>
    <t>软件需求解析反了，代码跟着适应性修改</t>
  </si>
  <si>
    <t>软件适应新ICD</t>
  </si>
  <si>
    <t>20102-064</t>
  </si>
  <si>
    <t>3. 连接器J5上有两个PWM使能相关的PIN，PIN2 上桥PWM使能和PIN3 下桥PWM使能，是两个DO输出，实际应用层只给了1个软件接口，叫驱动使能，1是使能，0是不使能，想再确定下，这个软件的驱动使能接口是否需要和连接器上这两个PIN来挂钩，目前实际软件实现的状态，是底软初始化后，直接拉高连接器上这两个PIN，在客户的驱动使能接口里实现的主芯片GTM的初始化。需要调整顺序，应当是上电无脑初始化GTM，应用层使能时，控制驱动板DO打开</t>
  </si>
  <si>
    <t>已按需求调整应用层驱动使能接口的功能</t>
  </si>
  <si>
    <t>20102-065</t>
  </si>
  <si>
    <t>模型打桩bss区域定义成了data，临时将memory map里data改成bss</t>
  </si>
  <si>
    <t>20102-066</t>
  </si>
  <si>
    <t>电机模型添加段名操作指导</t>
  </si>
  <si>
    <t>20102-067</t>
  </si>
  <si>
    <t>SGSA_WriteCommand_100us这个函数调用的位置，应当在Core3_Runnable_App_100us后面，且应当套在Motor_DriveState_u8 == 1的里面，目前顺序错误，会导致客户应用层模型发波动作晚一拍100us</t>
  </si>
  <si>
    <t>已按先读取硬件信号发给用户，再运行用户模型，最后接收用户模型返回的信号进行PWM发波执行的时序进行100us调度</t>
  </si>
  <si>
    <t>20102-068</t>
  </si>
  <si>
    <t>电流采样异常，软件识别150A，实际硬件200A，应该是软件换算公式的事情</t>
  </si>
  <si>
    <t>是芯片手册错误，手册电流敏感度是2.5mV/A，实际敏感度是2mV/A</t>
  </si>
  <si>
    <t>20102-069</t>
  </si>
  <si>
    <t>U和V过流中断有误报，上电时序说明还有风险，决议是到起电流前重新复位一遍</t>
  </si>
  <si>
    <t>在零飘电流自学习的流程中，加入故障误报清除动作</t>
  </si>
  <si>
    <t>20102-070</t>
  </si>
  <si>
    <t>MCU_PWM_EN P21.5应该用于6路PWM使能，目前该IO没有初始化动作，可能正好凑上默认低电平，系统功能跑起来了</t>
  </si>
  <si>
    <t>加入内部开管初始化和故障响应流程中</t>
  </si>
  <si>
    <t>20102-071</t>
  </si>
  <si>
    <t>连接器J5上有两个ASC相关的PIN，PIN4 ASC主动保护 是个DO输出，PIN13 ASC无效故障反馈是个DI输入，目前应用层接口只看到一个ASC请求接口（1是触发ASC，0是不触发），实际的软件实现是通过MCU输出UVW的PWM波来进入ASC，没有与J5连接器的PIN关联，需要确认客户需求。以及针对PIN 13 ASC无效的状态反馈，应该和哪个应用层接口去对接</t>
  </si>
  <si>
    <t>王明伟（杜牵）</t>
  </si>
  <si>
    <t>已和客户确认预驱芯片不支持ASC，软件不需要更改</t>
  </si>
  <si>
    <t>20102-072</t>
  </si>
  <si>
    <t>电流计算公式里需要引入参考电压信号</t>
  </si>
  <si>
    <t>20260626：最开始发现电压采样波动太大，影响控制，已完成电压滤波功能，待测试，已通知杜牵继续推进
20260706：底层已更新，APP待更新</t>
  </si>
  <si>
    <r>
      <rPr>
        <strike/>
        <sz val="9"/>
        <color rgb="FF000000"/>
        <rFont val="微软雅黑"/>
        <family val="2"/>
        <charset val="134"/>
      </rPr>
      <t>2026/5/26</t>
    </r>
    <r>
      <rPr>
        <sz val="9"/>
        <color rgb="FF000000"/>
        <rFont val="微软雅黑"/>
        <family val="2"/>
        <charset val="134"/>
      </rPr>
      <t xml:space="preserve">
2026/6/27</t>
    </r>
  </si>
  <si>
    <t>20102-073</t>
  </si>
  <si>
    <t>挂起</t>
  </si>
  <si>
    <t>C-Minor</t>
  </si>
  <si>
    <t>针对RDC采样周期设置，建议一个励磁周期采集32个点，SDADC时钟分频建议从0+48改成2+24的分频配置，当前使用的积分点都是前2个周期的需要优化；一般行业里用9.765KHZ的励磁周期</t>
  </si>
  <si>
    <t>芯片本身特性，后续根据实际情况再决定是否修改</t>
  </si>
  <si>
    <t>20260522：事情暂时不重要，后续有时间再研究</t>
  </si>
  <si>
    <t>20102-074</t>
  </si>
  <si>
    <t>电机的诊断没有走诊断ErrDiag那套，需要确认架构方案</t>
  </si>
  <si>
    <t>20260626：事情暂时不重要，放B样再沟通调整
20260713：启动相关方案讨论，完成日期待确认</t>
  </si>
  <si>
    <r>
      <rPr>
        <strike/>
        <sz val="9"/>
        <color rgb="FF000000"/>
        <rFont val="微软雅黑"/>
        <family val="2"/>
        <charset val="134"/>
      </rPr>
      <t>2026/5/27</t>
    </r>
    <r>
      <rPr>
        <sz val="9"/>
        <color rgb="FF000000"/>
        <rFont val="微软雅黑"/>
        <family val="2"/>
        <charset val="134"/>
      </rPr>
      <t xml:space="preserve">
2026/7/15</t>
    </r>
  </si>
  <si>
    <t>20102-075</t>
  </si>
  <si>
    <t>过流保护后切换状态开管瞬间，IDQ目标值一瞬间很大的问题，原因时关管后，目标值保持了上一次的值，没有清零</t>
  </si>
  <si>
    <t>原因是前一拍发生故障，进入关断状态后，标定的目标电流还在中间变量中，等状态机跳回开管状态后，会瞬态的输出占空比然后再调节回来，优化清除指令</t>
  </si>
  <si>
    <t>20102-076</t>
  </si>
  <si>
    <t>新建</t>
  </si>
  <si>
    <t>7个CAN节点通讯正常连接，CANA、CANF、CANG 周期最大值12.82ms，超出10ms±20%卡控；</t>
  </si>
  <si>
    <t>2026.5.28：
尝试纯Autosar COM通讯的效果</t>
  </si>
  <si>
    <t>20102-077</t>
  </si>
  <si>
    <t>core0  标定5ms测试结果示波器显示6.4,3.6ms周期翻转</t>
  </si>
  <si>
    <t>5ms优先级低于10ms，调用被10ms挤占</t>
  </si>
  <si>
    <t>修改5ms的task优先级，高于10ms的task，防止任务被挤占</t>
  </si>
  <si>
    <t>20102-078</t>
  </si>
  <si>
    <t>BOOT刷写测试也由于程序问题未正常开展（跳转报文格式不匹配）</t>
  </si>
  <si>
    <t>CANFD发送有问题</t>
  </si>
  <si>
    <t>今天完成跳转接收报文格式的修正，明天更新一下app的hex程序</t>
  </si>
  <si>
    <t>20102-079</t>
  </si>
  <si>
    <t>ICU采集测试，预期上电后第一帧上报频率占空比，实际第三帧上报</t>
  </si>
  <si>
    <t>应为Core0启动慢，初始化完成的时间靠后导致ICU采集启动慢</t>
  </si>
  <si>
    <t>在NVM_Readall之前调用一次Mainfunction</t>
  </si>
  <si>
    <t>20102-080</t>
  </si>
  <si>
    <t>上电会报预驱上/下桥故障，尝试了调整初始化时序，没有用</t>
  </si>
  <si>
    <t>目前和芯片供应商初步沟通后，推测是12V上电过程的问题，可能需要持续2S，导致误报欠压。下一步计划先关闭使能，等待电压稳定后再开启使能，看下效果</t>
  </si>
  <si>
    <t>20102-081</t>
  </si>
  <si>
    <t>电机IGBT温度，定子温度在周期运行的过程中，会偶发跳变，导致应用模型误报过温故障</t>
  </si>
  <si>
    <t>ADC01等模块RFIFO深度4，但实际需要承接8个通道的数据，在DMA优先级抢占的过程中，导致了RFIFO溢出</t>
  </si>
  <si>
    <t>拆分通道配置过多的ADC模组，尽可能保证一个模组只转4个通道</t>
  </si>
  <si>
    <t>20102-082</t>
  </si>
  <si>
    <t>在菊花链通讯过程中，断掉一个子板之后，再插上，整个菊花链通讯就停止了，数据都恢复不了，只能是把主板和子板都断电，然后再重新上电后恢复正常</t>
  </si>
  <si>
    <t>解决措施：上报故障，已经将BSW interface 进行了更新，下周开发功能</t>
  </si>
  <si>
    <t>20102-083</t>
  </si>
  <si>
    <t>客户转速接口得到的转速返回值一直是接近0的状态</t>
  </si>
  <si>
    <t>由于底层提供的一个FOC频率周期的接口返回值是U32（期望是Float），在计算转速时直接做了强转，导致U32的1000直接当作二进制数转成了Float，而不是作为Float的整数部分出现，导致后续计算全部错误</t>
  </si>
  <si>
    <t>更新接口返回值</t>
  </si>
  <si>
    <t>20102-084</t>
  </si>
  <si>
    <t>新软件零飘电流学出来的值偏的相对更厉害一点，电流零点U和W通道采样有差异</t>
  </si>
  <si>
    <t xml:space="preserve">旧软件ADC基频100M，采样周期2个tick， 新软件ADC基频200M，采样周期8个tick，问题解决。因此认定是ADC模块Sample time不够导致的抖动
</t>
  </si>
  <si>
    <t>20260613：在低温下，W和U的零飘电流最大可以差19个二进制数
1. 万用表测试驱动板输出电压情况
2. 用VX1000+控制板+模拟输入电压复测采样效果
注意电源信号和地的接线
20260626：ADC Sample time改8个周期解决</t>
  </si>
  <si>
    <t>20102-085</t>
  </si>
  <si>
    <r>
      <rPr>
        <sz val="9"/>
        <color rgb="FF000000"/>
        <rFont val="微软雅黑"/>
        <family val="2"/>
        <charset val="134"/>
      </rPr>
      <t>客户应用周期测试异常
1、</t>
    </r>
    <r>
      <rPr>
        <sz val="9"/>
        <color theme="5" tint="-0.249977111117893"/>
        <rFont val="微软雅黑"/>
        <family val="2"/>
        <charset val="134"/>
      </rPr>
      <t>swc_THSM_Step_10ms 预期10ms，实际测试100ms;</t>
    </r>
    <r>
      <rPr>
        <sz val="9"/>
        <color rgb="FF000000"/>
        <rFont val="微软雅黑"/>
        <family val="2"/>
        <charset val="134"/>
      </rPr>
      <t xml:space="preserve">
2、BPIU_100ms预期100ms，测试最小50ms;
3、BPP_50ms测试0ms;
4、</t>
    </r>
    <r>
      <rPr>
        <sz val="9"/>
        <color rgb="FFFF0000"/>
        <rFont val="微软雅黑"/>
        <family val="2"/>
        <charset val="134"/>
      </rPr>
      <t>fc_AngEmDev_100us等100us周期预期100us实际测试最大500us</t>
    </r>
    <r>
      <rPr>
        <sz val="9"/>
        <color rgb="FF000000"/>
        <rFont val="微软雅黑"/>
        <family val="2"/>
        <charset val="134"/>
      </rPr>
      <t>；
5、swc_HVSM_Step_10ms等10ms周期最小值9814us最大10154us，超出±1%卡控；
6、Task19-Task24未上报；
7、所有Task_UDS、SWC_Ver_DataServices_0xF1A4_22_RE_10ms、SWC_Init_Task_Core5_10ms周期预期10ms，测试0ms;
8、fc_ActvDampg_1ms等1ms周期周期最小值912us最大1097us，超出±1%卡控</t>
    </r>
  </si>
  <si>
    <t>100us里边的SGSA_WriteCommand_100us函数执行需要500us，导致100us的中断执行时间过长。实际原因是因为是变频，初始是10K,周期是100us。然后这个函数里会设置频率，我看里面控制频率为0，低于下限2KHZ,则输出为2K</t>
  </si>
  <si>
    <t>通过调用SGPP_kFOC_f32_PWMFreq_Hz这个接口给个10k参数，将周期固定为100us</t>
  </si>
  <si>
    <t>20102-086</t>
  </si>
  <si>
    <t>TLE9018芯片每2s进行一次激活，导致系统无法休眠</t>
  </si>
  <si>
    <t>按照英飞凌的建议进行配置后可用</t>
  </si>
  <si>
    <t>20102-088</t>
  </si>
  <si>
    <t>10K到9.5KHZ，电流出现明显毛刺，9，6这样非整数倍的频点都有这个问题</t>
  </si>
  <si>
    <t>20260626：台架资源挤占，暂时没有资源推进此时，需要优先测试MTPV和客户软件负荷
20260706：占空比*时间周期有误差，需要继续排查</t>
  </si>
  <si>
    <r>
      <rPr>
        <strike/>
        <sz val="9"/>
        <color rgb="FF000000"/>
        <rFont val="微软雅黑"/>
        <family val="2"/>
        <charset val="134"/>
      </rPr>
      <t>2026/6/12</t>
    </r>
    <r>
      <rPr>
        <sz val="9"/>
        <color rgb="FF000000"/>
        <rFont val="微软雅黑"/>
        <family val="2"/>
        <charset val="134"/>
      </rPr>
      <t xml:space="preserve">
2026/7/15</t>
    </r>
  </si>
  <si>
    <t>20102-089</t>
  </si>
  <si>
    <t>高速下，计算速度波动大，看波形，角度无跳变，即使因为数据一致性导致的，速度也只是出现一个小的波动，因此怀疑，是否是高速时，机械结构导致的波动</t>
  </si>
  <si>
    <t>20260609：在9000RPM对拖台架下，软解转速原始值会有非规律性的跳变，怀疑的点有：1. 旋变原始信号需要测试，正负最好做双绞； 2. 可以拿旋变模拟器做下测试
20260613：
300M+16个点 =》 周期波动+-30RPM，有异常数据跳变，大于100RPM
400M+16个点 =》 周期波动+-30RPM，有异常数据跳变，大于100RPM
400M+32个点 =》 周期波动+-100RPM，无异常数据跳变</t>
  </si>
  <si>
    <t>20260609：在9000RPM对拖台架下，软解转速原始值会有非规律性的跳变，怀疑的点有：1. 旋变原始信号需要测试，正负最好做双绞； 2. 可以拿旋变模拟器做下测试
DMA问题</t>
  </si>
  <si>
    <t>20102-090</t>
  </si>
  <si>
    <t>旋变故障检测不起作用</t>
  </si>
  <si>
    <t>之前标定时使用的旋变模拟器进行的标定，没有使用真实传感器，因此标定值不符合实际情况，需要重新调整及配置</t>
  </si>
  <si>
    <t>20260626：因为旋变信号双边短路和单边短路信号典型阈值有重叠，导致诊断阈值设定需要有取舍，与供应商沟通后觉得舍弃单边短路故障检出概率，确保双边短路能够检出。单边短路故障需要靠冗余的SDADC来覆盖</t>
  </si>
  <si>
    <t>20102-091</t>
  </si>
  <si>
    <t>Core3集成完应用层软件后负荷过大</t>
  </si>
  <si>
    <t>未对模型的text, bss, data地址进行寻址优化，优化包括：
1. ASW按照memmap定向优化text, bss, data到CORE3 local资源
2. BSW按照memmap定向优化text, bss, data到CORE3 local资源
3. RTE开启编译器内联优化
4. MCU主频提升到400M
5. 标定量移到CORE4 Flash，离CORE3更近</t>
  </si>
  <si>
    <t>陈亚军</t>
  </si>
  <si>
    <t>20260626：客户应用软件已经从内存空间上充分优化，正在结合客户标定量进行电机旋转测试，确认旋转以后的电机负荷可控
20260713：目前最优状态为65us/100us，保持此状态先交付客户台架，后续继续跟踪观测</t>
  </si>
  <si>
    <r>
      <rPr>
        <strike/>
        <sz val="9"/>
        <color rgb="FF000000"/>
        <rFont val="微软雅黑"/>
        <family val="2"/>
        <charset val="134"/>
      </rPr>
      <t>2026/6/12</t>
    </r>
    <r>
      <rPr>
        <sz val="9"/>
        <color rgb="FF000000"/>
        <rFont val="微软雅黑"/>
        <family val="2"/>
        <charset val="134"/>
      </rPr>
      <t xml:space="preserve">
2026/7/1</t>
    </r>
  </si>
  <si>
    <t>20102-092</t>
  </si>
  <si>
    <t>在周期任务下VCU的高边会影响W相电流的采样结果</t>
  </si>
  <si>
    <t>20260613：
1.把有影响的高边引到U相相关的ADC Group里进行交叉测试
2.外部直接给模拟信号，确认影响关系</t>
  </si>
  <si>
    <t>20260626：该问题排查高度依赖对拖台架环境，目前暂时无资源支持此问题排查
7/9：问题已复测，未复现，先挂起</t>
  </si>
  <si>
    <r>
      <rPr>
        <strike/>
        <sz val="9"/>
        <color rgb="FF000000"/>
        <rFont val="微软雅黑"/>
        <family val="2"/>
        <charset val="134"/>
      </rPr>
      <t>2026/6/20</t>
    </r>
    <r>
      <rPr>
        <sz val="9"/>
        <color rgb="FF000000"/>
        <rFont val="微软雅黑"/>
        <family val="2"/>
        <charset val="134"/>
      </rPr>
      <t xml:space="preserve">
2026/7/15</t>
    </r>
  </si>
  <si>
    <t>20102-093</t>
  </si>
  <si>
    <t>在低温下，W和U的零飘电流最大可以差19个二进制数</t>
  </si>
  <si>
    <t>与问题20102-084重复，此问题关闭</t>
  </si>
  <si>
    <t>20102-094</t>
  </si>
  <si>
    <t>B样需要更换芯声，扬杰，隆亿的物料</t>
  </si>
  <si>
    <t>20102-095</t>
  </si>
  <si>
    <t>当前电机CORE3相关的一些代码在PFLASH0上，可能有访问竞争的冲突，需要考虑继续优化内存分配</t>
  </si>
  <si>
    <t>客户的代码基本全部放到ITCM上，优化完成</t>
  </si>
  <si>
    <t>20102-096</t>
  </si>
  <si>
    <t>网关路由测试中部分信号发送值不一致：
1.EV_CAN TD=0x0BA的BMSH_BatCurrent这个信号的电流值为-1000A,PMS_CANFD为638.4A，电流不一致
2.EV_CAN TD=0x217的BMSH_CCM_LiquiidOutTemp这个信号的物理值为-40,PMS_CANFD的BMSH_inLet_waterTemp为87.5，不一致
3."EVCAN发送ID=0x220的OBC_ChrgrSt的信号
0x1: Init
0x2: Charge request请求充电
PMSCANFD上需显示对应的
0x0: Default 
Other : reserved
实际PMSCANFD路由发送ID=0x211的BMSH_ChargeLEDCtrl信号显示描述为Default"</t>
  </si>
  <si>
    <t>问题1：康宇航做解释
问题2：修改需求，删除案例
问题3 ：修改需求，删除案例</t>
  </si>
  <si>
    <t>20102-097</t>
  </si>
  <si>
    <t>DV实验过程中，Vbat在9.15V以下时，PWM channel4的采集失效，需要硬件分析下</t>
  </si>
  <si>
    <t>修改CH4</t>
  </si>
  <si>
    <t>20102-098</t>
  </si>
  <si>
    <t>DV摸底试验中，驱动板在完成一轮低温，再完成一轮高温以后损坏，表面现象是持续输出高边ASC</t>
  </si>
  <si>
    <t>失效过程如下：
1. 常温下测试1分钟电流控制闭环，正常
2. 不带电进行降温，至-40度，上电后持续运行25min，输出自动暂停，故障原因不明
3. 不带电进行回温及干燥，然后升至105度，运行10min后输出暂停，故障原因不明
4. 软件排查后发现驱动板一直ASC
目前已知：
1. 金属壳体凹槽内有积水
2. 水冷回路正常
3. 软件过温保护，过流保护正常</t>
  </si>
  <si>
    <t>王磊</t>
  </si>
  <si>
    <t>7/9：IGBT复测正常，先使用，问题挂起
7-13：反馈驱动板还是正常的，此问题关闭</t>
  </si>
  <si>
    <t>20102-099</t>
  </si>
  <si>
    <t>相电流硬件过流误报再跟踪一下</t>
  </si>
  <si>
    <t>把硬件过流IC滤波改了以后，在设定过流阈值为180A时，还有偶发过流保护</t>
  </si>
  <si>
    <t>20102-100</t>
  </si>
  <si>
    <t>高转速速度波动，Id稳定性待测试</t>
  </si>
  <si>
    <t>就一块驱动板了，做这个测试风险太大，暂时往后放</t>
  </si>
  <si>
    <t>20102-101</t>
  </si>
  <si>
    <t>DV电性能测试问题，B样需要调整励磁运放供电电源和励磁运放相关电路及CH4电阻修改，抛负载需要换芯片，供电电压瞬时下降需要做PCB修改</t>
  </si>
  <si>
    <t>20102-102</t>
  </si>
  <si>
    <t>SDADC与ADC模块存在内部干扰，导致电流采样偏差约5~6毫伏</t>
  </si>
  <si>
    <t>20102-103</t>
  </si>
  <si>
    <t>ADR和ADV公用的供电路径需要尽可能分开，瞬态电流有十几个mA，线加粗</t>
  </si>
  <si>
    <t>B样修改</t>
  </si>
  <si>
    <t>20102-104</t>
  </si>
  <si>
    <t>对地电容10uf,10nf并联预留</t>
  </si>
  <si>
    <t>20102-105</t>
  </si>
  <si>
    <t>ADV的地要求不高，ADR的地最好和外部信号独立共地</t>
  </si>
  <si>
    <t>WL1L02-0027/ACMA4532HT-510Y型号变更，物料号变更</t>
  </si>
  <si>
    <t>杜森</t>
  </si>
  <si>
    <t>发布时间</t>
  </si>
  <si>
    <t>项目编号</t>
  </si>
  <si>
    <t>zhounenghui@evpt.com.cn</t>
  </si>
  <si>
    <t>研发中心主任</t>
  </si>
  <si>
    <t>geshuping@evpt.com.cn</t>
  </si>
  <si>
    <t>hanliyuan@evpt.com.cn</t>
  </si>
  <si>
    <t>配置管理员</t>
  </si>
  <si>
    <t>系统工程师</t>
  </si>
  <si>
    <t>软件开发工程师</t>
  </si>
  <si>
    <t>liuqingshan@evpt.com.cn</t>
  </si>
  <si>
    <t>技术负责人</t>
  </si>
  <si>
    <t>技术对接人</t>
  </si>
  <si>
    <t>软件项目经理</t>
  </si>
  <si>
    <t>硬件负责人</t>
  </si>
  <si>
    <t>结构负责人</t>
  </si>
  <si>
    <t>工艺工程师</t>
  </si>
  <si>
    <t>质量工程师</t>
  </si>
  <si>
    <t>商务负责人</t>
  </si>
  <si>
    <t>硬件开发能力</t>
  </si>
  <si>
    <t>软件开发能力</t>
  </si>
  <si>
    <t>CANoe</t>
  </si>
  <si>
    <t>管理工具</t>
  </si>
  <si>
    <t>SVN</t>
  </si>
  <si>
    <t>WPS</t>
  </si>
  <si>
    <t>7516_VCU5000开发</t>
  </si>
  <si>
    <t>文件编号</t>
  </si>
  <si>
    <t>文件版本</t>
  </si>
  <si>
    <t>项目成员表</t>
  </si>
  <si>
    <t>文件密级</t>
  </si>
  <si>
    <t>供应产品</t>
  </si>
  <si>
    <t>VCU5000</t>
  </si>
  <si>
    <t>产品型号</t>
  </si>
  <si>
    <t>硬件代码</t>
  </si>
  <si>
    <t>客户的项目负责人</t>
  </si>
  <si>
    <r>
      <rPr>
        <b/>
        <sz val="12"/>
        <rFont val="Arial"/>
        <family val="2"/>
      </rPr>
      <t>EVPT</t>
    </r>
    <r>
      <rPr>
        <b/>
        <sz val="12"/>
        <rFont val="宋体"/>
        <family val="3"/>
        <charset val="134"/>
      </rPr>
      <t>项目成员表</t>
    </r>
  </si>
  <si>
    <t>NO.</t>
  </si>
  <si>
    <t>项目职责</t>
  </si>
  <si>
    <t>姓名</t>
  </si>
  <si>
    <t>Phone</t>
  </si>
  <si>
    <t>E-mail</t>
  </si>
  <si>
    <t>说明</t>
  </si>
  <si>
    <t>dusen@evpt.com.cn</t>
  </si>
  <si>
    <t>高云杰</t>
  </si>
  <si>
    <t>gaoyunjie@evpt.com.cn</t>
  </si>
  <si>
    <t>刁跃进</t>
  </si>
  <si>
    <t>diaoyuejin@evpt.com.cn</t>
  </si>
  <si>
    <t>软件开发负责人</t>
  </si>
  <si>
    <t>liuhongfa@evpt.com.cn</t>
  </si>
  <si>
    <t>baijinxin@evpt.com.cn</t>
  </si>
  <si>
    <t>测试工程师</t>
  </si>
  <si>
    <t>caoweizhen@evpt.com.cn</t>
  </si>
  <si>
    <t>宋梓青</t>
  </si>
  <si>
    <t>songziqing@evpt.top</t>
  </si>
  <si>
    <t>宋增园</t>
  </si>
  <si>
    <t>songzengyuan@evpt.com.cn</t>
  </si>
  <si>
    <t>客户项目成员表</t>
  </si>
  <si>
    <t>Level:
4：Expert(&gt;7 years experience, talented) 
3：Proficient(&gt;7 years experience) 
3：Experienced(3~7 years experience)
1：Beginner(&lt;3 years experience) 
0： No need</t>
  </si>
  <si>
    <r>
      <rPr>
        <b/>
        <sz val="11"/>
        <rFont val="Times New Roman"/>
        <family val="1"/>
      </rPr>
      <t xml:space="preserve">Specific Skill For Project
</t>
    </r>
    <r>
      <rPr>
        <b/>
        <sz val="11"/>
        <rFont val="宋体"/>
        <family val="3"/>
        <charset val="134"/>
      </rPr>
      <t>项目所需特殊技能</t>
    </r>
  </si>
  <si>
    <t>产品经理</t>
  </si>
  <si>
    <t>系统需求工程师</t>
  </si>
  <si>
    <t>系统架构工程师</t>
  </si>
  <si>
    <t>软件需求工程师</t>
  </si>
  <si>
    <t>软件架构工程师</t>
  </si>
  <si>
    <t>单元测试工程师</t>
  </si>
  <si>
    <t>软件集成测试工程师</t>
  </si>
  <si>
    <t>软件集成及集成测试员</t>
  </si>
  <si>
    <t>软件合格性测试工程师</t>
  </si>
  <si>
    <t>软件合格性测试员</t>
  </si>
  <si>
    <r>
      <rPr>
        <b/>
        <sz val="11"/>
        <rFont val="宋体"/>
        <family val="3"/>
        <charset val="134"/>
      </rPr>
      <t>系统集成</t>
    </r>
    <r>
      <rPr>
        <b/>
        <sz val="11"/>
        <rFont val="Times New Roman"/>
        <family val="1"/>
      </rPr>
      <t>&amp;</t>
    </r>
    <r>
      <rPr>
        <b/>
        <sz val="11"/>
        <rFont val="宋体"/>
        <family val="3"/>
        <charset val="134"/>
      </rPr>
      <t>系统集成测试工程师</t>
    </r>
  </si>
  <si>
    <t>系统集成测试员</t>
  </si>
  <si>
    <t>系统合格性工程师</t>
  </si>
  <si>
    <t>系统合格性员</t>
  </si>
  <si>
    <t>测试经理</t>
  </si>
  <si>
    <t>高云洁</t>
  </si>
  <si>
    <t>张松波</t>
  </si>
  <si>
    <t>蔡振兴</t>
  </si>
  <si>
    <t>兰悦鹏</t>
  </si>
  <si>
    <t>张晓奕</t>
  </si>
  <si>
    <t>孙宝洋</t>
  </si>
  <si>
    <t>闫建鹏</t>
  </si>
  <si>
    <t>孙玉婷</t>
  </si>
  <si>
    <t>王祥宇</t>
  </si>
  <si>
    <r>
      <rPr>
        <b/>
        <sz val="11"/>
        <rFont val="Times New Roman"/>
        <family val="1"/>
      </rPr>
      <t xml:space="preserve">Required
</t>
    </r>
    <r>
      <rPr>
        <b/>
        <sz val="11"/>
        <rFont val="宋体"/>
        <family val="3"/>
        <charset val="134"/>
      </rPr>
      <t>要求</t>
    </r>
  </si>
  <si>
    <r>
      <rPr>
        <b/>
        <sz val="11"/>
        <rFont val="Times New Roman"/>
        <family val="1"/>
      </rPr>
      <t xml:space="preserve">Actual
</t>
    </r>
    <r>
      <rPr>
        <b/>
        <sz val="11"/>
        <rFont val="宋体"/>
        <family val="3"/>
        <charset val="134"/>
      </rPr>
      <t>实际</t>
    </r>
  </si>
  <si>
    <r>
      <rPr>
        <b/>
        <sz val="11"/>
        <rFont val="Times New Roman"/>
        <family val="1"/>
      </rPr>
      <t xml:space="preserve">Gap
</t>
    </r>
    <r>
      <rPr>
        <b/>
        <sz val="11"/>
        <rFont val="宋体"/>
        <family val="3"/>
        <charset val="134"/>
      </rPr>
      <t>差距</t>
    </r>
  </si>
  <si>
    <t>流程管理</t>
  </si>
  <si>
    <t>产品知识及命名规则</t>
  </si>
  <si>
    <t>客户管理</t>
  </si>
  <si>
    <t>项目管理</t>
  </si>
  <si>
    <t>质量管理</t>
  </si>
  <si>
    <t>变更管理</t>
  </si>
  <si>
    <t>配置管理</t>
  </si>
  <si>
    <t>问题管理</t>
  </si>
  <si>
    <t>人力资源管理</t>
  </si>
  <si>
    <t>风险管理</t>
  </si>
  <si>
    <t>供应商管理</t>
  </si>
  <si>
    <t>APQP</t>
  </si>
  <si>
    <t>品质标准（行业、客户、企业）</t>
  </si>
  <si>
    <t>体系</t>
  </si>
  <si>
    <t>IATF16949</t>
  </si>
  <si>
    <t>ISO26262</t>
  </si>
  <si>
    <t>ASPICE</t>
  </si>
  <si>
    <t>ISO9001</t>
  </si>
  <si>
    <r>
      <rPr>
        <sz val="11"/>
        <color rgb="FF000000"/>
        <rFont val="宋体"/>
        <family val="3"/>
        <charset val="134"/>
      </rPr>
      <t>开发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宋体"/>
        <family val="3"/>
        <charset val="134"/>
      </rPr>
      <t>验证工具</t>
    </r>
  </si>
  <si>
    <t>S33ds</t>
  </si>
  <si>
    <t>NEWSAR</t>
  </si>
  <si>
    <t>QAC</t>
  </si>
  <si>
    <t>CTC++</t>
  </si>
  <si>
    <t>CANstress</t>
  </si>
  <si>
    <t>CANdiva</t>
  </si>
  <si>
    <r>
      <rPr>
        <sz val="11"/>
        <color rgb="FF000000"/>
        <rFont val="Times New Roman"/>
        <family val="1"/>
      </rPr>
      <t>GreenHills</t>
    </r>
    <r>
      <rPr>
        <sz val="11"/>
        <color rgb="FF000000"/>
        <rFont val="宋体"/>
        <family val="3"/>
        <charset val="134"/>
      </rPr>
      <t>（编译器）</t>
    </r>
  </si>
  <si>
    <t>GIT</t>
  </si>
  <si>
    <t>设备工具</t>
  </si>
  <si>
    <t>示波器</t>
  </si>
  <si>
    <t>万用表</t>
  </si>
  <si>
    <t>直流电源</t>
  </si>
  <si>
    <t>可编程直流电源</t>
  </si>
  <si>
    <r>
      <rPr>
        <sz val="11"/>
        <color rgb="FF000000"/>
        <rFont val="Times New Roman"/>
        <family val="1"/>
      </rPr>
      <t>Damo</t>
    </r>
    <r>
      <rPr>
        <sz val="11"/>
        <color rgb="FF000000"/>
        <rFont val="宋体"/>
        <family val="3"/>
        <charset val="134"/>
      </rPr>
      <t>板</t>
    </r>
  </si>
  <si>
    <t>开发</t>
  </si>
  <si>
    <t>客户需求分析</t>
  </si>
  <si>
    <t>系统需求分析</t>
  </si>
  <si>
    <t>系统架构设计</t>
  </si>
  <si>
    <t>软件需求分析</t>
  </si>
  <si>
    <t>软件架构设计</t>
  </si>
  <si>
    <t>软件详细设计</t>
  </si>
  <si>
    <t>单元测试</t>
  </si>
  <si>
    <t>测试用例编写</t>
  </si>
  <si>
    <t>软件集成测试</t>
  </si>
  <si>
    <t>系统集成测试</t>
  </si>
  <si>
    <t>软件合格性测试</t>
  </si>
  <si>
    <t>系统合格性测试</t>
  </si>
  <si>
    <t>国产芯片开发能力</t>
  </si>
  <si>
    <t>AUTOSAR开发</t>
  </si>
  <si>
    <r>
      <rPr>
        <sz val="11"/>
        <color rgb="FF000000"/>
        <rFont val="Times New Roman"/>
        <family val="1"/>
      </rPr>
      <t>C++</t>
    </r>
    <r>
      <rPr>
        <sz val="11"/>
        <color rgb="FF000000"/>
        <rFont val="宋体"/>
        <family val="3"/>
        <charset val="134"/>
      </rPr>
      <t>语言</t>
    </r>
  </si>
  <si>
    <r>
      <rPr>
        <sz val="11"/>
        <color rgb="FF000000"/>
        <rFont val="Times New Roman"/>
        <family val="1"/>
      </rPr>
      <t>C</t>
    </r>
    <r>
      <rPr>
        <sz val="11"/>
        <color rgb="FF000000"/>
        <rFont val="宋体"/>
        <family val="3"/>
        <charset val="134"/>
      </rPr>
      <t>语言</t>
    </r>
  </si>
  <si>
    <r>
      <rPr>
        <sz val="11"/>
        <color rgb="FF000000"/>
        <rFont val="Times New Roman"/>
        <family val="1"/>
      </rPr>
      <t>EMC</t>
    </r>
    <r>
      <rPr>
        <sz val="11"/>
        <color rgb="FF000000"/>
        <rFont val="宋体"/>
        <family val="3"/>
        <charset val="134"/>
      </rPr>
      <t>设计</t>
    </r>
  </si>
  <si>
    <t>问题分析能力</t>
  </si>
  <si>
    <t>DFMEA</t>
  </si>
  <si>
    <t>MS Project</t>
  </si>
  <si>
    <t>Office</t>
  </si>
  <si>
    <t>钉钉</t>
  </si>
  <si>
    <t>VISIO</t>
  </si>
  <si>
    <t>熟悉CANNM模块代码</t>
    <phoneticPr fontId="116" type="noConversion"/>
  </si>
  <si>
    <t>代码调用框架</t>
    <phoneticPr fontId="116" type="noConversion"/>
  </si>
  <si>
    <t>熟悉CANNM的NEUSAR工具配置项</t>
    <phoneticPr fontId="116" type="noConversion"/>
  </si>
  <si>
    <t>配置项说明文档</t>
    <phoneticPr fontId="116" type="noConversion"/>
  </si>
  <si>
    <t>罗凯</t>
    <phoneticPr fontId="116" type="noConversion"/>
  </si>
  <si>
    <t>规范需求文档</t>
    <phoneticPr fontId="116" type="noConversion"/>
  </si>
  <si>
    <t>差异需求文档，并覆盖差异解决办法</t>
    <phoneticPr fontId="116" type="noConversion"/>
  </si>
  <si>
    <t>CAPL测试脚本</t>
    <phoneticPr fontId="116" type="noConversion"/>
  </si>
  <si>
    <t>脚本+使用说明</t>
    <phoneticPr fontId="116" type="noConversion"/>
  </si>
  <si>
    <t>207/1/20</t>
    <phoneticPr fontId="116" type="noConversion"/>
  </si>
  <si>
    <t>熟悉主动唤醒调用逻辑</t>
    <phoneticPr fontId="116" type="noConversion"/>
  </si>
  <si>
    <t>熟悉被动唤醒调用逻辑</t>
    <phoneticPr fontId="116" type="noConversion"/>
  </si>
  <si>
    <t>熟悉NM主状态机逻辑</t>
    <phoneticPr fontId="116" type="noConversion"/>
  </si>
  <si>
    <t>拓展特性调用逻辑</t>
    <phoneticPr fontId="116" type="noConversion"/>
  </si>
  <si>
    <t>NM网络管理基本参数设置</t>
    <phoneticPr fontId="116" type="noConversion"/>
  </si>
  <si>
    <t>标准AUTOSAR需求整理</t>
    <phoneticPr fontId="116" type="noConversion"/>
  </si>
  <si>
    <t>非标准AUTOSAR需求整理</t>
    <phoneticPr fontId="116" type="noConversion"/>
  </si>
  <si>
    <t>标准与非标准之间对比</t>
    <phoneticPr fontId="116" type="noConversion"/>
  </si>
  <si>
    <t>熟悉通信控制调用逻辑关系</t>
    <phoneticPr fontId="116" type="noConversion"/>
  </si>
  <si>
    <t>形成非标准下的实现文档</t>
    <phoneticPr fontId="116" type="noConversion"/>
  </si>
  <si>
    <t>主要变量与关键判断逻辑</t>
    <phoneticPr fontId="116" type="noConversion"/>
  </si>
  <si>
    <t>分析AUTOSAR的NM标准，分清标准与差异需求（基于标准AUTOSAR）</t>
    <phoneticPr fontId="116" type="noConversion"/>
  </si>
  <si>
    <t>固化AUTOSAR的NM模块标准化需求(基于标准AUTOSAR)</t>
    <phoneticPr fontId="116" type="noConversion"/>
  </si>
  <si>
    <t>形成标准NM开发模块详设</t>
    <phoneticPr fontId="116" type="noConversion"/>
  </si>
  <si>
    <t>标准AUTOSAR的NM模块需求规范文档</t>
    <phoneticPr fontId="116" type="noConversion"/>
  </si>
  <si>
    <t>形成标准NM模块测试案例文档</t>
    <phoneticPr fontId="116" type="noConversion"/>
  </si>
  <si>
    <t>项目开发计划</t>
    <phoneticPr fontId="116" type="noConversion"/>
  </si>
  <si>
    <t>配置项与代码逻辑关系</t>
    <phoneticPr fontId="1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</si>
</sst>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-* #,##0.00_-;\-* #,##0.00_-;_-* &quot;-&quot;??_-;_-@_-"/>
    <numFmt numFmtId="177" formatCode="_-&quot;$&quot;* #,##0_-;\-&quot;$&quot;* #,##0_-;_-&quot;$&quot;* &quot;-&quot;_-;_-@_-"/>
    <numFmt numFmtId="178" formatCode="0.000"/>
    <numFmt numFmtId="179" formatCode="_-&quot;$&quot;* #,##0.00_-;\-&quot;$&quot;* #,##0.00_-;_-&quot;$&quot;* &quot;-&quot;??_-;_-@_-"/>
    <numFmt numFmtId="180" formatCode="_-* #,##0_-;\-* #,##0_-;_-* &quot;-&quot;_-;_-@_-"/>
    <numFmt numFmtId="181" formatCode="0_)"/>
    <numFmt numFmtId="182" formatCode="_(* #,##0_);_(* \(#,##0\);_(* &quot;-&quot;_);_(@_)"/>
    <numFmt numFmtId="183" formatCode="_(* #,##0.00_);_(* \(#,##0.00\);_(* &quot;-&quot;??_);_(@_)"/>
    <numFmt numFmtId="184" formatCode="yyyy/m/d;@"/>
    <numFmt numFmtId="185" formatCode="General&quot;Day&quot;"/>
  </numFmts>
  <fonts count="118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name val="宋体"/>
      <family val="3"/>
      <charset val="134"/>
    </font>
    <font>
      <b/>
      <sz val="11"/>
      <name val="Times New Roman"/>
      <family val="1"/>
    </font>
    <font>
      <b/>
      <sz val="11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Times New Roman"/>
      <family val="1"/>
    </font>
    <font>
      <sz val="9"/>
      <name val="Arial"/>
      <family val="2"/>
    </font>
    <font>
      <sz val="9"/>
      <name val="宋体"/>
      <family val="3"/>
      <charset val="134"/>
    </font>
    <font>
      <sz val="10"/>
      <name val="Arial"/>
      <family val="2"/>
    </font>
    <font>
      <sz val="10"/>
      <color rgb="FF000000"/>
      <name val="Arial"/>
      <family val="2"/>
    </font>
    <font>
      <b/>
      <sz val="14"/>
      <name val="宋体"/>
      <family val="3"/>
      <charset val="134"/>
    </font>
    <font>
      <sz val="12"/>
      <name val="Times New Roman"/>
      <family val="1"/>
    </font>
    <font>
      <sz val="12"/>
      <name val="Arial"/>
      <family val="2"/>
    </font>
    <font>
      <b/>
      <sz val="16"/>
      <name val="宋体"/>
      <family val="3"/>
      <charset val="134"/>
    </font>
    <font>
      <b/>
      <sz val="8"/>
      <name val="宋体"/>
      <family val="3"/>
      <charset val="134"/>
    </font>
    <font>
      <b/>
      <sz val="12"/>
      <name val="Arial"/>
      <family val="2"/>
    </font>
    <font>
      <sz val="12"/>
      <name val="宋体"/>
      <family val="3"/>
      <charset val="134"/>
    </font>
    <font>
      <b/>
      <sz val="10"/>
      <color rgb="FF003366"/>
      <name val="宋体"/>
      <family val="3"/>
      <charset val="134"/>
    </font>
    <font>
      <u/>
      <sz val="11"/>
      <color rgb="FF0000FF"/>
      <name val="宋体"/>
      <family val="3"/>
      <charset val="134"/>
      <scheme val="minor"/>
    </font>
    <font>
      <b/>
      <sz val="12"/>
      <name val="宋体"/>
      <family val="3"/>
      <charset val="134"/>
    </font>
    <font>
      <b/>
      <sz val="10"/>
      <color indexed="56"/>
      <name val="Arial"/>
      <family val="2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sz val="10"/>
      <name val="Times New Roman"/>
      <family val="1"/>
    </font>
    <font>
      <sz val="10"/>
      <color rgb="FF000000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0"/>
      <name val="宋体"/>
      <family val="3"/>
      <charset val="134"/>
    </font>
    <font>
      <sz val="11"/>
      <color theme="1"/>
      <name val="微软雅黑"/>
      <family val="2"/>
      <charset val="134"/>
    </font>
    <font>
      <b/>
      <sz val="14"/>
      <color rgb="FF000000"/>
      <name val="Times New Roman"/>
      <family val="1"/>
    </font>
    <font>
      <sz val="10.5"/>
      <color theme="1"/>
      <name val="Times New Roman"/>
      <family val="1"/>
    </font>
    <font>
      <sz val="10.5"/>
      <name val="Times New Roman"/>
      <family val="1"/>
    </font>
    <font>
      <sz val="9"/>
      <color rgb="FF000000"/>
      <name val="微软雅黑"/>
      <family val="2"/>
      <charset val="134"/>
    </font>
    <font>
      <sz val="10.5"/>
      <color theme="1"/>
      <name val="微软雅黑"/>
      <family val="2"/>
      <charset val="134"/>
    </font>
    <font>
      <b/>
      <sz val="24"/>
      <name val="Times New Roman"/>
      <family val="1"/>
    </font>
    <font>
      <b/>
      <sz val="9"/>
      <color theme="1"/>
      <name val="微软雅黑"/>
      <family val="2"/>
      <charset val="134"/>
    </font>
    <font>
      <sz val="10.5"/>
      <color theme="1"/>
      <name val="宋体"/>
      <family val="3"/>
      <charset val="134"/>
    </font>
    <font>
      <strike/>
      <sz val="9"/>
      <color rgb="FF000000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10"/>
      <name val="等线"/>
      <family val="3"/>
      <charset val="134"/>
    </font>
    <font>
      <sz val="10"/>
      <color rgb="FFFF0000"/>
      <name val="等线"/>
      <family val="3"/>
      <charset val="134"/>
    </font>
    <font>
      <sz val="11"/>
      <color theme="1"/>
      <name val="宋体"/>
      <family val="3"/>
      <charset val="134"/>
    </font>
    <font>
      <i/>
      <sz val="10"/>
      <color rgb="FF0070C0"/>
      <name val="Times New Roman"/>
      <family val="1"/>
    </font>
    <font>
      <sz val="10"/>
      <color rgb="FF000000"/>
      <name val="default"/>
      <family val="1"/>
    </font>
    <font>
      <sz val="10"/>
      <color rgb="FF000000"/>
      <name val="等线"/>
      <family val="3"/>
      <charset val="134"/>
    </font>
    <font>
      <b/>
      <sz val="16"/>
      <color theme="1"/>
      <name val="Times New Roman"/>
      <family val="1"/>
    </font>
    <font>
      <b/>
      <sz val="11"/>
      <color rgb="FF363636"/>
      <name val="Times New Roman"/>
      <family val="1"/>
    </font>
    <font>
      <b/>
      <sz val="11"/>
      <color rgb="FF363636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trike/>
      <sz val="11"/>
      <color theme="1"/>
      <name val="宋体"/>
      <family val="3"/>
      <charset val="134"/>
      <scheme val="minor"/>
    </font>
    <font>
      <strike/>
      <sz val="11"/>
      <name val="宋体"/>
      <family val="3"/>
      <charset val="134"/>
      <scheme val="minor"/>
    </font>
    <font>
      <strike/>
      <sz val="11"/>
      <color rgb="FF000000"/>
      <name val="宋体"/>
      <family val="3"/>
      <charset val="134"/>
      <scheme val="minor"/>
    </font>
    <font>
      <strike/>
      <sz val="11"/>
      <color rgb="FF000000"/>
      <name val="宋体"/>
      <family val="3"/>
      <charset val="134"/>
    </font>
    <font>
      <b/>
      <sz val="11"/>
      <color rgb="FF000000"/>
      <name val="Times New Roman"/>
      <family val="1"/>
    </font>
    <font>
      <sz val="10.5"/>
      <color rgb="FF000000"/>
      <name val="Times New Roman"/>
      <family val="1"/>
    </font>
    <font>
      <sz val="11"/>
      <color rgb="FF00000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2"/>
      <color indexed="8"/>
      <name val="新細明體"/>
      <charset val="134"/>
    </font>
    <font>
      <b/>
      <sz val="11"/>
      <color indexed="52"/>
      <name val="宋体"/>
      <family val="3"/>
      <charset val="134"/>
    </font>
    <font>
      <sz val="11"/>
      <name val="Arial Narrow"/>
      <family val="2"/>
    </font>
    <font>
      <sz val="11"/>
      <color indexed="20"/>
      <name val="宋体"/>
      <family val="3"/>
      <charset val="134"/>
    </font>
    <font>
      <sz val="11"/>
      <name val="ＭＳ Ｐゴシック"/>
      <charset val="134"/>
    </font>
    <font>
      <sz val="12"/>
      <name val=""/>
      <charset val="134"/>
    </font>
    <font>
      <i/>
      <sz val="11"/>
      <color indexed="23"/>
      <name val="宋体"/>
      <family val="3"/>
      <charset val="134"/>
    </font>
    <font>
      <sz val="12"/>
      <color indexed="62"/>
      <name val="新細明體"/>
      <charset val="134"/>
    </font>
    <font>
      <sz val="11"/>
      <color indexed="9"/>
      <name val="宋体"/>
      <family val="3"/>
      <charset val="134"/>
    </font>
    <font>
      <sz val="12"/>
      <color indexed="10"/>
      <name val="新細明體"/>
      <charset val="134"/>
    </font>
    <font>
      <b/>
      <sz val="11"/>
      <color indexed="63"/>
      <name val="宋体"/>
      <family val="3"/>
      <charset val="134"/>
    </font>
    <font>
      <b/>
      <sz val="18"/>
      <color indexed="56"/>
      <name val="新細明體"/>
      <charset val="134"/>
    </font>
    <font>
      <b/>
      <sz val="12"/>
      <color indexed="8"/>
      <name val="新細明體"/>
      <charset val="134"/>
    </font>
    <font>
      <i/>
      <sz val="12"/>
      <color indexed="23"/>
      <name val="新細明體"/>
      <charset val="134"/>
    </font>
    <font>
      <sz val="11"/>
      <color indexed="60"/>
      <name val="宋体"/>
      <family val="3"/>
      <charset val="134"/>
    </font>
    <font>
      <sz val="12"/>
      <name val="新細明體"/>
      <charset val="134"/>
    </font>
    <font>
      <sz val="14"/>
      <name val="System"/>
      <charset val="134"/>
    </font>
    <font>
      <sz val="12"/>
      <name val="穝灿砰"/>
      <charset val="134"/>
    </font>
    <font>
      <sz val="10"/>
      <name val="Arrus BT"/>
      <family val="1"/>
    </font>
    <font>
      <sz val="12"/>
      <color indexed="9"/>
      <name val="新細明體"/>
      <charset val="134"/>
    </font>
    <font>
      <sz val="11"/>
      <color indexed="17"/>
      <name val="宋体"/>
      <family val="3"/>
      <charset val="134"/>
    </font>
    <font>
      <sz val="11"/>
      <name val="ＭＳ ゴシック"/>
      <charset val="134"/>
    </font>
    <font>
      <u/>
      <sz val="10.199999999999999"/>
      <color indexed="12"/>
      <name val="宋体"/>
      <family val="3"/>
      <charset val="134"/>
    </font>
    <font>
      <sz val="7"/>
      <name val="Small Fonts"/>
      <charset val="134"/>
    </font>
    <font>
      <sz val="12"/>
      <name val="Garamond"/>
      <family val="1"/>
    </font>
    <font>
      <b/>
      <sz val="15"/>
      <color indexed="56"/>
      <name val="宋体"/>
      <family val="3"/>
      <charset val="134"/>
    </font>
    <font>
      <sz val="11"/>
      <name val="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新細明體"/>
      <charset val="134"/>
    </font>
    <font>
      <b/>
      <sz val="13"/>
      <color indexed="56"/>
      <name val="新細明體"/>
      <charset val="134"/>
    </font>
    <font>
      <b/>
      <sz val="11"/>
      <color indexed="56"/>
      <name val="新細明體"/>
      <charset val="134"/>
    </font>
    <font>
      <sz val="9"/>
      <name val="ＭＳ ゴシック"/>
      <charset val="134"/>
    </font>
    <font>
      <sz val="11"/>
      <color indexed="52"/>
      <name val="宋体"/>
      <family val="3"/>
      <charset val="134"/>
    </font>
    <font>
      <sz val="11"/>
      <color indexed="8"/>
      <name val="ＭＳ Ｐゴシック"/>
      <charset val="128"/>
    </font>
    <font>
      <u/>
      <sz val="12"/>
      <color indexed="12"/>
      <name val="Times New Roman"/>
      <family val="1"/>
    </font>
    <font>
      <sz val="12"/>
      <color indexed="17"/>
      <name val="新細明體"/>
      <charset val="134"/>
    </font>
    <font>
      <sz val="12"/>
      <color indexed="20"/>
      <name val="新細明體"/>
      <charset val="134"/>
    </font>
    <font>
      <b/>
      <sz val="11"/>
      <color indexed="8"/>
      <name val="宋体"/>
      <family val="3"/>
      <charset val="134"/>
    </font>
    <font>
      <b/>
      <sz val="12"/>
      <color indexed="52"/>
      <name val="新細明體"/>
      <charset val="134"/>
    </font>
    <font>
      <b/>
      <sz val="11"/>
      <color indexed="9"/>
      <name val="宋体"/>
      <family val="3"/>
      <charset val="134"/>
    </font>
    <font>
      <b/>
      <sz val="12"/>
      <color indexed="9"/>
      <name val="新細明體"/>
      <charset val="134"/>
    </font>
    <font>
      <sz val="11"/>
      <color indexed="10"/>
      <name val="宋体"/>
      <family val="3"/>
      <charset val="134"/>
    </font>
    <font>
      <sz val="12"/>
      <color indexed="52"/>
      <name val="新細明體"/>
      <charset val="134"/>
    </font>
    <font>
      <sz val="10"/>
      <name val="Courier"/>
      <family val="3"/>
    </font>
    <font>
      <sz val="11"/>
      <color indexed="62"/>
      <name val="宋体"/>
      <family val="3"/>
      <charset val="134"/>
    </font>
    <font>
      <b/>
      <sz val="12"/>
      <color indexed="63"/>
      <name val="新細明體"/>
      <charset val="134"/>
    </font>
    <font>
      <sz val="12"/>
      <color indexed="60"/>
      <name val="新細明體"/>
      <charset val="134"/>
    </font>
    <font>
      <b/>
      <sz val="16"/>
      <color theme="1"/>
      <name val="宋体"/>
      <family val="3"/>
      <charset val="134"/>
    </font>
    <font>
      <sz val="11"/>
      <color theme="1"/>
      <name val="default"/>
      <family val="1"/>
    </font>
    <font>
      <sz val="9"/>
      <color theme="5" tint="-0.249977111117893"/>
      <name val="微软雅黑"/>
      <family val="2"/>
      <charset val="134"/>
    </font>
    <font>
      <b/>
      <sz val="14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2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9" tint="0.7997680593279824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auto="1"/>
      </left>
      <right style="thin">
        <color auto="1"/>
      </right>
      <top style="thin">
        <color rgb="FFB1BBCC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172"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26" borderId="0" applyNumberFormat="0" applyFont="0" applyBorder="0" applyAlignment="0" applyProtection="0"/>
    <xf numFmtId="176" fontId="13" fillId="0" borderId="0" applyFont="0" applyFill="0" applyBorder="0" applyAlignment="0" applyProtection="0"/>
    <xf numFmtId="0" fontId="61" fillId="27" borderId="0" applyProtection="0"/>
    <xf numFmtId="0" fontId="62" fillId="28" borderId="0" applyNumberFormat="0" applyBorder="0" applyAlignment="0" applyProtection="0">
      <alignment vertical="center"/>
    </xf>
    <xf numFmtId="0" fontId="63" fillId="4" borderId="31" applyProtection="0"/>
    <xf numFmtId="0" fontId="62" fillId="29" borderId="0" applyNumberFormat="0" applyBorder="0" applyAlignment="0" applyProtection="0">
      <alignment vertical="center"/>
    </xf>
    <xf numFmtId="0" fontId="64" fillId="0" borderId="0"/>
    <xf numFmtId="0" fontId="61" fillId="30" borderId="0" applyNumberFormat="0" applyBorder="0" applyAlignment="0" applyProtection="0">
      <alignment vertical="center"/>
    </xf>
    <xf numFmtId="0" fontId="59" fillId="0" borderId="0"/>
    <xf numFmtId="0" fontId="10" fillId="0" borderId="0" applyProtection="0"/>
    <xf numFmtId="0" fontId="63" fillId="4" borderId="31" applyNumberFormat="0" applyAlignment="0" applyProtection="0">
      <alignment vertical="center"/>
    </xf>
    <xf numFmtId="0" fontId="61" fillId="0" borderId="0" applyProtection="0">
      <alignment vertical="center"/>
    </xf>
    <xf numFmtId="0" fontId="115" fillId="0" borderId="0">
      <alignment vertical="center"/>
    </xf>
    <xf numFmtId="0" fontId="65" fillId="30" borderId="0" applyNumberFormat="0" applyBorder="0" applyAlignment="0" applyProtection="0">
      <alignment vertical="center"/>
    </xf>
    <xf numFmtId="0" fontId="66" fillId="0" borderId="0"/>
    <xf numFmtId="0" fontId="67" fillId="0" borderId="0" applyFont="0" applyFill="0" applyBorder="0" applyAlignment="0" applyProtection="0"/>
    <xf numFmtId="0" fontId="68" fillId="0" borderId="0" applyNumberFormat="0" applyFill="0" applyBorder="0" applyAlignment="0" applyProtection="0">
      <alignment vertical="center"/>
    </xf>
    <xf numFmtId="0" fontId="69" fillId="31" borderId="31" applyNumberFormat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72" fillId="4" borderId="32" applyProtection="0"/>
    <xf numFmtId="0" fontId="62" fillId="33" borderId="0" applyNumberFormat="0" applyBorder="0" applyAlignment="0" applyProtection="0">
      <alignment vertical="center"/>
    </xf>
    <xf numFmtId="0" fontId="10" fillId="0" borderId="0"/>
    <xf numFmtId="0" fontId="73" fillId="0" borderId="0" applyNumberFormat="0" applyFill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74" fillId="0" borderId="33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35" borderId="0" applyProtection="0"/>
    <xf numFmtId="0" fontId="77" fillId="0" borderId="0"/>
    <xf numFmtId="0" fontId="78" fillId="0" borderId="0"/>
    <xf numFmtId="0" fontId="70" fillId="36" borderId="0" applyProtection="0"/>
    <xf numFmtId="0" fontId="62" fillId="27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30" borderId="0" applyProtection="0"/>
    <xf numFmtId="0" fontId="61" fillId="33" borderId="0" applyProtection="0"/>
    <xf numFmtId="0" fontId="61" fillId="33" borderId="0" applyNumberFormat="0" applyBorder="0" applyAlignment="0" applyProtection="0">
      <alignment vertical="center"/>
    </xf>
    <xf numFmtId="0" fontId="61" fillId="29" borderId="0" applyProtection="0"/>
    <xf numFmtId="0" fontId="61" fillId="29" borderId="0" applyNumberFormat="0" applyBorder="0" applyAlignment="0" applyProtection="0">
      <alignment vertical="center"/>
    </xf>
    <xf numFmtId="177" fontId="79" fillId="0" borderId="0" applyFont="0" applyFill="0" applyBorder="0" applyAlignment="0" applyProtection="0"/>
    <xf numFmtId="0" fontId="61" fillId="34" borderId="0" applyProtection="0"/>
    <xf numFmtId="0" fontId="61" fillId="34" borderId="0" applyNumberFormat="0" applyBorder="0" applyAlignment="0" applyProtection="0">
      <alignment vertical="center"/>
    </xf>
    <xf numFmtId="0" fontId="68" fillId="0" borderId="0" applyProtection="0"/>
    <xf numFmtId="0" fontId="61" fillId="31" borderId="0" applyProtection="0"/>
    <xf numFmtId="0" fontId="61" fillId="31" borderId="0" applyNumberFormat="0" applyBorder="0" applyAlignment="0" applyProtection="0">
      <alignment vertical="center"/>
    </xf>
    <xf numFmtId="178" fontId="10" fillId="0" borderId="1">
      <alignment horizontal="center"/>
    </xf>
    <xf numFmtId="0" fontId="62" fillId="37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2" fillId="38" borderId="0" applyNumberFormat="0" applyBorder="0" applyAlignment="0" applyProtection="0">
      <alignment vertical="center"/>
    </xf>
    <xf numFmtId="0" fontId="61" fillId="37" borderId="0" applyProtection="0"/>
    <xf numFmtId="0" fontId="61" fillId="37" borderId="0" applyNumberFormat="0" applyBorder="0" applyAlignment="0" applyProtection="0">
      <alignment vertical="center"/>
    </xf>
    <xf numFmtId="0" fontId="61" fillId="28" borderId="0" applyProtection="0"/>
    <xf numFmtId="0" fontId="61" fillId="28" borderId="0" applyNumberFormat="0" applyBorder="0" applyAlignment="0" applyProtection="0">
      <alignment vertical="center"/>
    </xf>
    <xf numFmtId="0" fontId="61" fillId="36" borderId="0" applyProtection="0"/>
    <xf numFmtId="0" fontId="61" fillId="36" borderId="0" applyNumberFormat="0" applyBorder="0" applyAlignment="0" applyProtection="0">
      <alignment vertical="center"/>
    </xf>
    <xf numFmtId="0" fontId="61" fillId="38" borderId="0" applyProtection="0"/>
    <xf numFmtId="0" fontId="80" fillId="0" borderId="0">
      <alignment vertical="center" wrapText="1"/>
    </xf>
    <xf numFmtId="0" fontId="61" fillId="38" borderId="0" applyNumberFormat="0" applyBorder="0" applyAlignment="0" applyProtection="0">
      <alignment vertical="center"/>
    </xf>
    <xf numFmtId="0" fontId="81" fillId="39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2" fillId="33" borderId="0" applyNumberFormat="0" applyBorder="0" applyAlignment="0" applyProtection="0">
      <alignment vertical="center"/>
    </xf>
    <xf numFmtId="0" fontId="81" fillId="36" borderId="0" applyNumberFormat="0" applyBorder="0" applyAlignment="0" applyProtection="0">
      <alignment vertical="center"/>
    </xf>
    <xf numFmtId="0" fontId="81" fillId="40" borderId="0" applyNumberFormat="0" applyBorder="0" applyAlignment="0" applyProtection="0">
      <alignment vertical="center"/>
    </xf>
    <xf numFmtId="0" fontId="81" fillId="41" borderId="0" applyNumberFormat="0" applyBorder="0" applyAlignment="0" applyProtection="0">
      <alignment vertical="center"/>
    </xf>
    <xf numFmtId="0" fontId="11" fillId="0" borderId="0"/>
    <xf numFmtId="0" fontId="81" fillId="42" borderId="0" applyNumberFormat="0" applyBorder="0" applyAlignment="0" applyProtection="0">
      <alignment vertical="center"/>
    </xf>
    <xf numFmtId="0" fontId="70" fillId="39" borderId="0" applyProtection="0"/>
    <xf numFmtId="0" fontId="70" fillId="39" borderId="0" applyNumberFormat="0" applyBorder="0" applyAlignment="0" applyProtection="0">
      <alignment vertical="center"/>
    </xf>
    <xf numFmtId="0" fontId="70" fillId="28" borderId="0" applyProtection="0"/>
    <xf numFmtId="0" fontId="83" fillId="0" borderId="0"/>
    <xf numFmtId="0" fontId="70" fillId="28" borderId="0" applyNumberFormat="0" applyBorder="0" applyAlignment="0" applyProtection="0">
      <alignment vertical="center"/>
    </xf>
    <xf numFmtId="179" fontId="13" fillId="0" borderId="0" applyFont="0" applyFill="0" applyBorder="0" applyAlignment="0" applyProtection="0"/>
    <xf numFmtId="0" fontId="70" fillId="36" borderId="0" applyNumberFormat="0" applyBorder="0" applyAlignment="0" applyProtection="0">
      <alignment vertical="center"/>
    </xf>
    <xf numFmtId="0" fontId="82" fillId="33" borderId="0" applyProtection="0"/>
    <xf numFmtId="0" fontId="70" fillId="43" borderId="0" applyProtection="0"/>
    <xf numFmtId="0" fontId="70" fillId="40" borderId="0" applyNumberFormat="0" applyBorder="0" applyAlignment="0" applyProtection="0">
      <alignment vertical="center"/>
    </xf>
    <xf numFmtId="0" fontId="70" fillId="41" borderId="0" applyProtection="0"/>
    <xf numFmtId="0" fontId="70" fillId="41" borderId="0" applyNumberFormat="0" applyBorder="0" applyAlignment="0" applyProtection="0">
      <alignment vertical="center"/>
    </xf>
    <xf numFmtId="0" fontId="115" fillId="0" borderId="0"/>
    <xf numFmtId="0" fontId="84" fillId="0" borderId="0" applyNumberFormat="0" applyFill="0" applyBorder="0" applyAlignment="0" applyProtection="0">
      <alignment vertical="top"/>
      <protection locked="0"/>
    </xf>
    <xf numFmtId="0" fontId="70" fillId="42" borderId="0" applyProtection="0"/>
    <xf numFmtId="0" fontId="70" fillId="42" borderId="0" applyNumberFormat="0" applyBorder="0" applyAlignment="0" applyProtection="0">
      <alignment vertical="center"/>
    </xf>
    <xf numFmtId="37" fontId="85" fillId="0" borderId="0"/>
    <xf numFmtId="0" fontId="86" fillId="0" borderId="0"/>
    <xf numFmtId="0" fontId="18" fillId="0" borderId="0">
      <alignment vertical="center"/>
    </xf>
    <xf numFmtId="0" fontId="87" fillId="0" borderId="34" applyProtection="0"/>
    <xf numFmtId="0" fontId="25" fillId="0" borderId="0"/>
    <xf numFmtId="0" fontId="79" fillId="0" borderId="0"/>
    <xf numFmtId="180" fontId="79" fillId="0" borderId="0" applyFont="0" applyFill="0" applyBorder="0" applyAlignment="0" applyProtection="0"/>
    <xf numFmtId="176" fontId="79" fillId="0" borderId="0" applyFont="0" applyFill="0" applyBorder="0" applyAlignment="0" applyProtection="0"/>
    <xf numFmtId="177" fontId="13" fillId="0" borderId="0" applyFont="0" applyFill="0" applyBorder="0" applyAlignment="0" applyProtection="0"/>
    <xf numFmtId="0" fontId="88" fillId="0" borderId="0"/>
    <xf numFmtId="9" fontId="18" fillId="0" borderId="0" applyFont="0" applyFill="0" applyBorder="0" applyAlignment="0" applyProtection="0"/>
    <xf numFmtId="0" fontId="62" fillId="44" borderId="35" applyNumberFormat="0" applyFont="0" applyAlignment="0" applyProtection="0">
      <alignment vertical="center"/>
    </xf>
    <xf numFmtId="0" fontId="87" fillId="0" borderId="34" applyNumberFormat="0" applyFill="0" applyAlignment="0" applyProtection="0">
      <alignment vertical="center"/>
    </xf>
    <xf numFmtId="0" fontId="89" fillId="0" borderId="36" applyProtection="0"/>
    <xf numFmtId="0" fontId="89" fillId="0" borderId="36" applyNumberFormat="0" applyFill="0" applyAlignment="0" applyProtection="0">
      <alignment vertical="center"/>
    </xf>
    <xf numFmtId="0" fontId="70" fillId="45" borderId="0" applyProtection="0"/>
    <xf numFmtId="0" fontId="90" fillId="0" borderId="37" applyProtection="0"/>
    <xf numFmtId="0" fontId="90" fillId="0" borderId="37" applyNumberFormat="0" applyFill="0" applyAlignment="0" applyProtection="0">
      <alignment vertical="center"/>
    </xf>
    <xf numFmtId="0" fontId="90" fillId="0" borderId="0" applyProtection="0"/>
    <xf numFmtId="0" fontId="90" fillId="0" borderId="0" applyNumberFormat="0" applyFill="0" applyBorder="0" applyAlignment="0" applyProtection="0">
      <alignment vertical="center"/>
    </xf>
    <xf numFmtId="0" fontId="91" fillId="0" borderId="0" applyProtection="0"/>
    <xf numFmtId="0" fontId="91" fillId="0" borderId="0" applyNumberFormat="0" applyFill="0" applyBorder="0" applyAlignment="0" applyProtection="0">
      <alignment vertical="center"/>
    </xf>
    <xf numFmtId="0" fontId="92" fillId="0" borderId="34" applyNumberFormat="0" applyFill="0" applyAlignment="0" applyProtection="0">
      <alignment vertical="center"/>
    </xf>
    <xf numFmtId="0" fontId="93" fillId="0" borderId="36" applyNumberFormat="0" applyFill="0" applyAlignment="0" applyProtection="0">
      <alignment vertical="center"/>
    </xf>
    <xf numFmtId="0" fontId="94" fillId="0" borderId="37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Border="0" applyAlignment="0" applyProtection="0">
      <alignment vertical="center"/>
    </xf>
    <xf numFmtId="0" fontId="66" fillId="0" borderId="0">
      <alignment vertical="center"/>
    </xf>
    <xf numFmtId="0" fontId="65" fillId="30" borderId="0" applyProtection="0"/>
    <xf numFmtId="0" fontId="77" fillId="0" borderId="0">
      <alignment vertical="center"/>
    </xf>
    <xf numFmtId="0" fontId="61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8" fillId="0" borderId="0" applyProtection="0"/>
    <xf numFmtId="0" fontId="115" fillId="0" borderId="0">
      <alignment vertical="center"/>
    </xf>
    <xf numFmtId="0" fontId="115" fillId="0" borderId="0">
      <alignment vertical="center"/>
    </xf>
    <xf numFmtId="0" fontId="96" fillId="0" borderId="38" applyNumberFormat="0" applyFill="0" applyAlignment="0" applyProtection="0">
      <alignment vertical="center"/>
    </xf>
    <xf numFmtId="0" fontId="115" fillId="0" borderId="0">
      <alignment vertical="center"/>
    </xf>
    <xf numFmtId="0" fontId="115" fillId="0" borderId="0"/>
    <xf numFmtId="0" fontId="115" fillId="0" borderId="0"/>
    <xf numFmtId="0" fontId="115" fillId="0" borderId="0"/>
    <xf numFmtId="0" fontId="18" fillId="0" borderId="0"/>
    <xf numFmtId="0" fontId="18" fillId="0" borderId="0">
      <alignment vertical="center"/>
    </xf>
    <xf numFmtId="0" fontId="59" fillId="0" borderId="0"/>
    <xf numFmtId="0" fontId="18" fillId="44" borderId="35" applyProtection="0"/>
    <xf numFmtId="0" fontId="59" fillId="0" borderId="0"/>
    <xf numFmtId="0" fontId="59" fillId="0" borderId="0"/>
    <xf numFmtId="0" fontId="97" fillId="0" borderId="0"/>
    <xf numFmtId="0" fontId="115" fillId="0" borderId="0">
      <alignment vertical="center"/>
    </xf>
    <xf numFmtId="0" fontId="98" fillId="0" borderId="0" applyNumberFormat="0" applyFill="0" applyBorder="0" applyAlignment="0" applyProtection="0">
      <alignment vertical="top"/>
      <protection locked="0"/>
    </xf>
    <xf numFmtId="0" fontId="81" fillId="45" borderId="0" applyNumberFormat="0" applyBorder="0" applyAlignment="0" applyProtection="0">
      <alignment vertical="center"/>
    </xf>
    <xf numFmtId="0" fontId="81" fillId="26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100" fillId="30" borderId="0" applyNumberFormat="0" applyBorder="0" applyAlignment="0" applyProtection="0">
      <alignment vertical="center"/>
    </xf>
    <xf numFmtId="0" fontId="101" fillId="0" borderId="33" applyProtection="0"/>
    <xf numFmtId="0" fontId="101" fillId="0" borderId="33" applyNumberFormat="0" applyFill="0" applyAlignment="0" applyProtection="0">
      <alignment vertical="center"/>
    </xf>
    <xf numFmtId="177" fontId="77" fillId="0" borderId="0" applyFont="0" applyFill="0" applyBorder="0" applyAlignment="0" applyProtection="0"/>
    <xf numFmtId="0" fontId="102" fillId="4" borderId="31" applyNumberFormat="0" applyAlignment="0" applyProtection="0">
      <alignment vertical="center"/>
    </xf>
    <xf numFmtId="0" fontId="103" fillId="47" borderId="39" applyProtection="0"/>
    <xf numFmtId="0" fontId="103" fillId="47" borderId="39" applyNumberFormat="0" applyAlignment="0" applyProtection="0">
      <alignment vertical="center"/>
    </xf>
    <xf numFmtId="0" fontId="103" fillId="47" borderId="39" applyNumberFormat="0" applyAlignment="0" applyProtection="0">
      <alignment vertical="center"/>
    </xf>
    <xf numFmtId="0" fontId="104" fillId="47" borderId="39" applyNumberFormat="0" applyAlignment="0" applyProtection="0">
      <alignment vertical="center"/>
    </xf>
    <xf numFmtId="0" fontId="105" fillId="0" borderId="0" applyProtection="0"/>
    <xf numFmtId="0" fontId="105" fillId="0" borderId="0" applyNumberFormat="0" applyFill="0" applyBorder="0" applyAlignment="0" applyProtection="0">
      <alignment vertical="center"/>
    </xf>
    <xf numFmtId="0" fontId="106" fillId="0" borderId="38" applyNumberFormat="0" applyFill="0" applyAlignment="0" applyProtection="0">
      <alignment vertical="center"/>
    </xf>
    <xf numFmtId="0" fontId="96" fillId="0" borderId="38" applyProtection="0"/>
    <xf numFmtId="179" fontId="79" fillId="0" borderId="0" applyFont="0" applyFill="0" applyBorder="0" applyAlignment="0" applyProtection="0"/>
    <xf numFmtId="181" fontId="107" fillId="0" borderId="0"/>
    <xf numFmtId="180" fontId="13" fillId="0" borderId="0" applyFont="0" applyFill="0" applyBorder="0" applyAlignment="0" applyProtection="0"/>
    <xf numFmtId="182" fontId="18" fillId="0" borderId="0" applyFont="0" applyFill="0" applyBorder="0" applyAlignment="0" applyProtection="0"/>
    <xf numFmtId="0" fontId="108" fillId="31" borderId="31" applyNumberFormat="0" applyAlignment="0" applyProtection="0">
      <alignment vertical="center"/>
    </xf>
    <xf numFmtId="183" fontId="18" fillId="0" borderId="0" applyFont="0" applyFill="0" applyBorder="0" applyAlignment="0" applyProtection="0"/>
    <xf numFmtId="0" fontId="70" fillId="45" borderId="0" applyNumberFormat="0" applyBorder="0" applyAlignment="0" applyProtection="0">
      <alignment vertical="center"/>
    </xf>
    <xf numFmtId="0" fontId="70" fillId="26" borderId="0" applyProtection="0"/>
    <xf numFmtId="0" fontId="70" fillId="26" borderId="0" applyNumberFormat="0" applyBorder="0" applyAlignment="0" applyProtection="0">
      <alignment vertical="center"/>
    </xf>
    <xf numFmtId="0" fontId="70" fillId="32" borderId="0" applyProtection="0"/>
    <xf numFmtId="0" fontId="70" fillId="46" borderId="0" applyProtection="0"/>
    <xf numFmtId="0" fontId="70" fillId="46" borderId="0" applyNumberFormat="0" applyBorder="0" applyAlignment="0" applyProtection="0">
      <alignment vertical="center"/>
    </xf>
    <xf numFmtId="0" fontId="76" fillId="35" borderId="0" applyNumberFormat="0" applyBorder="0" applyAlignment="0" applyProtection="0">
      <alignment vertical="center"/>
    </xf>
    <xf numFmtId="0" fontId="72" fillId="4" borderId="32" applyNumberFormat="0" applyAlignment="0" applyProtection="0">
      <alignment vertical="center"/>
    </xf>
    <xf numFmtId="0" fontId="108" fillId="31" borderId="31" applyProtection="0"/>
    <xf numFmtId="0" fontId="109" fillId="4" borderId="32" applyNumberFormat="0" applyAlignment="0" applyProtection="0">
      <alignment vertical="center"/>
    </xf>
    <xf numFmtId="0" fontId="110" fillId="35" borderId="0" applyNumberFormat="0" applyBorder="0" applyAlignment="0" applyProtection="0">
      <alignment vertical="center"/>
    </xf>
    <xf numFmtId="0" fontId="18" fillId="44" borderId="35" applyNumberFormat="0" applyFont="0" applyAlignment="0" applyProtection="0">
      <alignment vertical="center"/>
    </xf>
  </cellStyleXfs>
  <cellXfs count="353">
    <xf numFmtId="0" fontId="0" fillId="0" borderId="0" xfId="0">
      <alignment vertical="center"/>
    </xf>
    <xf numFmtId="0" fontId="1" fillId="0" borderId="0" xfId="72" applyFont="1" applyAlignment="1">
      <alignment vertical="center"/>
    </xf>
    <xf numFmtId="0" fontId="4" fillId="2" borderId="3" xfId="72" applyFont="1" applyFill="1" applyBorder="1" applyAlignment="1">
      <alignment vertical="center" wrapText="1"/>
    </xf>
    <xf numFmtId="0" fontId="4" fillId="2" borderId="4" xfId="72" applyFont="1" applyFill="1" applyBorder="1" applyAlignment="1">
      <alignment vertical="center" wrapText="1"/>
    </xf>
    <xf numFmtId="0" fontId="4" fillId="2" borderId="0" xfId="72" applyFont="1" applyFill="1" applyAlignment="1">
      <alignment vertical="center"/>
    </xf>
    <xf numFmtId="0" fontId="4" fillId="2" borderId="5" xfId="72" applyFont="1" applyFill="1" applyBorder="1" applyAlignment="1">
      <alignment horizontal="center" vertical="center" wrapText="1"/>
    </xf>
    <xf numFmtId="0" fontId="6" fillId="0" borderId="5" xfId="72" applyFont="1" applyBorder="1" applyAlignment="1">
      <alignment horizontal="center" vertical="center"/>
    </xf>
    <xf numFmtId="0" fontId="7" fillId="0" borderId="5" xfId="72" applyFont="1" applyBorder="1" applyAlignment="1">
      <alignment horizontal="center" vertical="center" wrapText="1"/>
    </xf>
    <xf numFmtId="0" fontId="7" fillId="0" borderId="5" xfId="72" applyFont="1" applyBorder="1" applyAlignment="1">
      <alignment horizontal="center" vertical="center"/>
    </xf>
    <xf numFmtId="1" fontId="7" fillId="0" borderId="5" xfId="72" applyNumberFormat="1" applyFont="1" applyBorder="1" applyAlignment="1">
      <alignment horizontal="center" vertical="center" wrapText="1"/>
    </xf>
    <xf numFmtId="0" fontId="7" fillId="0" borderId="6" xfId="72" applyFont="1" applyBorder="1" applyAlignment="1">
      <alignment horizontal="center" vertical="center"/>
    </xf>
    <xf numFmtId="0" fontId="7" fillId="0" borderId="4" xfId="72" applyFont="1" applyBorder="1" applyAlignment="1">
      <alignment horizontal="center" vertical="center"/>
    </xf>
    <xf numFmtId="0" fontId="7" fillId="0" borderId="7" xfId="72" applyFont="1" applyBorder="1" applyAlignment="1">
      <alignment horizontal="center" vertical="center"/>
    </xf>
    <xf numFmtId="1" fontId="7" fillId="0" borderId="8" xfId="72" applyNumberFormat="1" applyFont="1" applyBorder="1" applyAlignment="1">
      <alignment horizontal="center" vertical="center" wrapText="1"/>
    </xf>
    <xf numFmtId="0" fontId="7" fillId="0" borderId="9" xfId="72" applyFont="1" applyBorder="1" applyAlignment="1">
      <alignment horizontal="center" vertical="center"/>
    </xf>
    <xf numFmtId="0" fontId="7" fillId="0" borderId="8" xfId="72" applyFont="1" applyBorder="1" applyAlignment="1">
      <alignment horizontal="center" vertical="center"/>
    </xf>
    <xf numFmtId="0" fontId="7" fillId="0" borderId="10" xfId="72" applyFont="1" applyBorder="1" applyAlignment="1">
      <alignment horizontal="center" vertical="center"/>
    </xf>
    <xf numFmtId="1" fontId="7" fillId="0" borderId="1" xfId="72" applyNumberFormat="1" applyFont="1" applyBorder="1" applyAlignment="1">
      <alignment horizontal="center" vertical="center" wrapText="1"/>
    </xf>
    <xf numFmtId="0" fontId="1" fillId="0" borderId="11" xfId="72" applyFont="1" applyBorder="1" applyAlignment="1">
      <alignment horizontal="center" vertical="center"/>
    </xf>
    <xf numFmtId="0" fontId="7" fillId="0" borderId="12" xfId="72" applyFont="1" applyBorder="1" applyAlignment="1">
      <alignment horizontal="center" vertical="center"/>
    </xf>
    <xf numFmtId="1" fontId="7" fillId="0" borderId="12" xfId="72" applyNumberFormat="1" applyFont="1" applyBorder="1" applyAlignment="1">
      <alignment horizontal="center" vertical="center" wrapText="1"/>
    </xf>
    <xf numFmtId="1" fontId="7" fillId="0" borderId="13" xfId="72" applyNumberFormat="1" applyFont="1" applyBorder="1" applyAlignment="1">
      <alignment horizontal="center" vertical="center" wrapText="1"/>
    </xf>
    <xf numFmtId="0" fontId="7" fillId="0" borderId="0" xfId="72" applyFont="1" applyAlignment="1">
      <alignment vertical="center"/>
    </xf>
    <xf numFmtId="0" fontId="7" fillId="0" borderId="0" xfId="72" applyFont="1" applyAlignment="1">
      <alignment horizontal="center" vertical="center"/>
    </xf>
    <xf numFmtId="1" fontId="7" fillId="0" borderId="0" xfId="72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14" fillId="0" borderId="0" xfId="0" applyFont="1" applyAlignment="1"/>
    <xf numFmtId="0" fontId="16" fillId="6" borderId="1" xfId="86" applyFont="1" applyFill="1" applyBorder="1" applyAlignment="1">
      <alignment horizontal="center" vertical="center"/>
    </xf>
    <xf numFmtId="0" fontId="8" fillId="0" borderId="1" xfId="86" applyFont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8" fillId="7" borderId="1" xfId="0" applyFont="1" applyFill="1" applyBorder="1">
      <alignment vertical="center"/>
    </xf>
    <xf numFmtId="0" fontId="18" fillId="0" borderId="1" xfId="0" applyFont="1" applyBorder="1" applyAlignment="1"/>
    <xf numFmtId="0" fontId="18" fillId="0" borderId="17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22" fillId="0" borderId="0" xfId="0" applyFont="1" applyAlignment="1">
      <alignment vertical="top" wrapText="1"/>
    </xf>
    <xf numFmtId="0" fontId="14" fillId="0" borderId="1" xfId="0" applyFont="1" applyBorder="1" applyAlignment="1"/>
    <xf numFmtId="0" fontId="10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4" fillId="0" borderId="0" xfId="81" applyFont="1"/>
    <xf numFmtId="0" fontId="1" fillId="0" borderId="0" xfId="81" applyFont="1"/>
    <xf numFmtId="0" fontId="1" fillId="0" borderId="0" xfId="81" applyFont="1" applyAlignment="1">
      <alignment vertical="center"/>
    </xf>
    <xf numFmtId="0" fontId="24" fillId="0" borderId="0" xfId="81" applyFont="1" applyAlignment="1">
      <alignment vertical="center"/>
    </xf>
    <xf numFmtId="0" fontId="30" fillId="9" borderId="0" xfId="81" applyFont="1" applyFill="1"/>
    <xf numFmtId="0" fontId="30" fillId="0" borderId="0" xfId="81" applyFont="1"/>
    <xf numFmtId="0" fontId="35" fillId="0" borderId="0" xfId="81" applyFont="1" applyAlignment="1">
      <alignment vertical="center"/>
    </xf>
    <xf numFmtId="0" fontId="30" fillId="0" borderId="0" xfId="81" applyFont="1" applyAlignment="1">
      <alignment vertical="center"/>
    </xf>
    <xf numFmtId="0" fontId="30" fillId="0" borderId="0" xfId="81" applyFont="1" applyAlignment="1">
      <alignment horizontal="center"/>
    </xf>
    <xf numFmtId="0" fontId="30" fillId="0" borderId="0" xfId="81" applyFont="1" applyAlignment="1">
      <alignment vertical="top"/>
    </xf>
    <xf numFmtId="0" fontId="30" fillId="0" borderId="0" xfId="81" applyFont="1" applyAlignment="1">
      <alignment horizontal="center" vertical="center"/>
    </xf>
    <xf numFmtId="0" fontId="23" fillId="2" borderId="24" xfId="117" applyFont="1" applyFill="1" applyBorder="1" applyAlignment="1">
      <alignment horizontal="center" vertical="center" wrapText="1"/>
    </xf>
    <xf numFmtId="0" fontId="23" fillId="2" borderId="25" xfId="117" applyFont="1" applyFill="1" applyBorder="1" applyAlignment="1">
      <alignment horizontal="center" vertical="center" wrapText="1"/>
    </xf>
    <xf numFmtId="49" fontId="34" fillId="0" borderId="1" xfId="0" applyNumberFormat="1" applyFont="1" applyBorder="1" applyAlignment="1">
      <alignment horizontal="center" vertical="center" wrapText="1"/>
    </xf>
    <xf numFmtId="0" fontId="29" fillId="0" borderId="1" xfId="14" applyFont="1" applyBorder="1" applyAlignment="1">
      <alignment horizontal="center" vertical="center"/>
    </xf>
    <xf numFmtId="14" fontId="34" fillId="0" borderId="1" xfId="0" applyNumberFormat="1" applyFont="1" applyBorder="1" applyAlignment="1">
      <alignment horizontal="center" vertical="center" wrapText="1"/>
    </xf>
    <xf numFmtId="0" fontId="38" fillId="0" borderId="1" xfId="81" applyFont="1" applyBorder="1" applyAlignment="1">
      <alignment horizontal="center" vertical="center"/>
    </xf>
    <xf numFmtId="14" fontId="32" fillId="0" borderId="1" xfId="81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left" vertical="center" wrapText="1"/>
    </xf>
    <xf numFmtId="184" fontId="34" fillId="0" borderId="5" xfId="0" applyNumberFormat="1" applyFont="1" applyBorder="1" applyAlignment="1">
      <alignment horizontal="center" vertical="center" wrapText="1"/>
    </xf>
    <xf numFmtId="14" fontId="39" fillId="0" borderId="1" xfId="0" applyNumberFormat="1" applyFont="1" applyBorder="1" applyAlignment="1">
      <alignment horizontal="center" vertical="center" wrapText="1"/>
    </xf>
    <xf numFmtId="0" fontId="32" fillId="0" borderId="22" xfId="81" applyFont="1" applyBorder="1" applyAlignment="1">
      <alignment vertical="center" wrapText="1"/>
    </xf>
    <xf numFmtId="14" fontId="1" fillId="0" borderId="0" xfId="81" applyNumberFormat="1" applyFont="1" applyAlignment="1">
      <alignment vertical="center"/>
    </xf>
    <xf numFmtId="0" fontId="34" fillId="5" borderId="1" xfId="0" applyFont="1" applyFill="1" applyBorder="1" applyAlignment="1">
      <alignment horizontal="left" vertical="center" wrapText="1"/>
    </xf>
    <xf numFmtId="184" fontId="34" fillId="5" borderId="5" xfId="0" applyNumberFormat="1" applyFont="1" applyFill="1" applyBorder="1" applyAlignment="1">
      <alignment horizontal="center" vertical="center" wrapText="1"/>
    </xf>
    <xf numFmtId="14" fontId="34" fillId="5" borderId="1" xfId="0" applyNumberFormat="1" applyFont="1" applyFill="1" applyBorder="1" applyAlignment="1">
      <alignment horizontal="center" vertical="center" wrapText="1"/>
    </xf>
    <xf numFmtId="0" fontId="38" fillId="9" borderId="1" xfId="81" applyFont="1" applyFill="1" applyBorder="1" applyAlignment="1">
      <alignment horizontal="center" vertical="center"/>
    </xf>
    <xf numFmtId="14" fontId="32" fillId="9" borderId="1" xfId="81" applyNumberFormat="1" applyFont="1" applyFill="1" applyBorder="1" applyAlignment="1">
      <alignment horizontal="center" vertical="center"/>
    </xf>
    <xf numFmtId="14" fontId="39" fillId="5" borderId="1" xfId="0" applyNumberFormat="1" applyFont="1" applyFill="1" applyBorder="1" applyAlignment="1">
      <alignment horizontal="center" vertical="center" wrapText="1"/>
    </xf>
    <xf numFmtId="0" fontId="29" fillId="8" borderId="1" xfId="14" applyFont="1" applyFill="1" applyBorder="1" applyAlignment="1">
      <alignment horizontal="center" vertical="center"/>
    </xf>
    <xf numFmtId="0" fontId="29" fillId="2" borderId="1" xfId="14" applyFont="1" applyFill="1" applyBorder="1" applyAlignment="1">
      <alignment horizontal="center" vertical="center"/>
    </xf>
    <xf numFmtId="0" fontId="40" fillId="5" borderId="1" xfId="0" applyFont="1" applyFill="1" applyBorder="1" applyAlignment="1">
      <alignment horizontal="left" vertical="center" wrapText="1"/>
    </xf>
    <xf numFmtId="0" fontId="41" fillId="0" borderId="5" xfId="0" applyFont="1" applyBorder="1" applyAlignment="1">
      <alignment horizontal="left" vertical="center" wrapText="1"/>
    </xf>
    <xf numFmtId="0" fontId="41" fillId="0" borderId="5" xfId="0" applyFont="1" applyBorder="1" applyAlignment="1">
      <alignment horizontal="center" vertical="center"/>
    </xf>
    <xf numFmtId="0" fontId="42" fillId="0" borderId="5" xfId="0" applyFont="1" applyBorder="1" applyAlignment="1">
      <alignment horizontal="left" vertical="center" wrapText="1"/>
    </xf>
    <xf numFmtId="14" fontId="41" fillId="0" borderId="5" xfId="0" applyNumberFormat="1" applyFont="1" applyBorder="1" applyAlignment="1">
      <alignment horizontal="center" vertical="center"/>
    </xf>
    <xf numFmtId="0" fontId="41" fillId="0" borderId="5" xfId="0" applyFont="1" applyBorder="1" applyAlignment="1">
      <alignment horizontal="left" vertical="top" wrapText="1"/>
    </xf>
    <xf numFmtId="14" fontId="33" fillId="9" borderId="1" xfId="81" applyNumberFormat="1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left" vertical="center" wrapText="1"/>
    </xf>
    <xf numFmtId="184" fontId="23" fillId="5" borderId="5" xfId="0" applyNumberFormat="1" applyFont="1" applyFill="1" applyBorder="1" applyAlignment="1">
      <alignment horizontal="center" vertical="center" wrapText="1"/>
    </xf>
    <xf numFmtId="0" fontId="29" fillId="10" borderId="1" xfId="14" applyFont="1" applyFill="1" applyBorder="1" applyAlignment="1">
      <alignment horizontal="center" vertical="center"/>
    </xf>
    <xf numFmtId="0" fontId="43" fillId="0" borderId="5" xfId="0" applyFont="1" applyBorder="1" applyAlignment="1">
      <alignment vertical="center" wrapText="1"/>
    </xf>
    <xf numFmtId="0" fontId="25" fillId="0" borderId="1" xfId="14" applyFont="1" applyBorder="1" applyAlignment="1">
      <alignment horizontal="center" vertical="center"/>
    </xf>
    <xf numFmtId="0" fontId="34" fillId="5" borderId="1" xfId="0" applyFont="1" applyFill="1" applyBorder="1" applyAlignment="1">
      <alignment horizontal="left" vertical="top" wrapText="1"/>
    </xf>
    <xf numFmtId="0" fontId="44" fillId="0" borderId="1" xfId="14" applyFont="1" applyBorder="1" applyAlignment="1">
      <alignment horizontal="center" vertical="center"/>
    </xf>
    <xf numFmtId="0" fontId="45" fillId="0" borderId="8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46" fillId="0" borderId="8" xfId="0" applyFont="1" applyBorder="1" applyAlignment="1">
      <alignment horizontal="left" vertical="center" wrapText="1"/>
    </xf>
    <xf numFmtId="49" fontId="34" fillId="0" borderId="23" xfId="0" applyNumberFormat="1" applyFont="1" applyBorder="1" applyAlignment="1">
      <alignment horizontal="center" vertical="center" wrapText="1"/>
    </xf>
    <xf numFmtId="0" fontId="29" fillId="8" borderId="23" xfId="14" applyFont="1" applyFill="1" applyBorder="1" applyAlignment="1">
      <alignment horizontal="center" vertical="center"/>
    </xf>
    <xf numFmtId="14" fontId="34" fillId="5" borderId="23" xfId="0" applyNumberFormat="1" applyFont="1" applyFill="1" applyBorder="1" applyAlignment="1">
      <alignment horizontal="center" vertical="center" wrapText="1"/>
    </xf>
    <xf numFmtId="0" fontId="38" fillId="9" borderId="23" xfId="81" applyFont="1" applyFill="1" applyBorder="1" applyAlignment="1">
      <alignment horizontal="center" vertical="center"/>
    </xf>
    <xf numFmtId="14" fontId="32" fillId="9" borderId="23" xfId="81" applyNumberFormat="1" applyFont="1" applyFill="1" applyBorder="1" applyAlignment="1">
      <alignment horizontal="center" vertical="center"/>
    </xf>
    <xf numFmtId="0" fontId="34" fillId="5" borderId="23" xfId="0" applyFont="1" applyFill="1" applyBorder="1" applyAlignment="1">
      <alignment horizontal="left" vertical="center" wrapText="1"/>
    </xf>
    <xf numFmtId="184" fontId="34" fillId="5" borderId="8" xfId="0" applyNumberFormat="1" applyFont="1" applyFill="1" applyBorder="1" applyAlignment="1">
      <alignment horizontal="center" vertical="center" wrapText="1"/>
    </xf>
    <xf numFmtId="0" fontId="30" fillId="0" borderId="1" xfId="81" applyFont="1" applyBorder="1" applyAlignment="1">
      <alignment vertical="center" wrapText="1"/>
    </xf>
    <xf numFmtId="0" fontId="30" fillId="0" borderId="1" xfId="81" applyFont="1" applyBorder="1"/>
    <xf numFmtId="184" fontId="34" fillId="5" borderId="1" xfId="0" applyNumberFormat="1" applyFont="1" applyFill="1" applyBorder="1" applyAlignment="1">
      <alignment horizontal="center" vertical="center" wrapText="1"/>
    </xf>
    <xf numFmtId="0" fontId="30" fillId="0" borderId="1" xfId="81" applyFont="1" applyBorder="1" applyAlignment="1">
      <alignment vertical="top"/>
    </xf>
    <xf numFmtId="0" fontId="30" fillId="0" borderId="1" xfId="81" applyFont="1" applyBorder="1" applyAlignment="1">
      <alignment horizontal="center" vertical="center"/>
    </xf>
    <xf numFmtId="0" fontId="30" fillId="0" borderId="1" xfId="81" applyFont="1" applyBorder="1" applyAlignment="1">
      <alignment wrapText="1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48" fillId="2" borderId="29" xfId="0" applyFont="1" applyFill="1" applyBorder="1" applyAlignment="1">
      <alignment horizontal="center" vertical="center" wrapText="1"/>
    </xf>
    <xf numFmtId="0" fontId="49" fillId="2" borderId="29" xfId="0" applyFont="1" applyFill="1" applyBorder="1" applyAlignment="1">
      <alignment horizontal="center" vertical="center" wrapText="1"/>
    </xf>
    <xf numFmtId="0" fontId="27" fillId="11" borderId="1" xfId="0" applyFont="1" applyFill="1" applyBorder="1">
      <alignment vertical="center"/>
    </xf>
    <xf numFmtId="0" fontId="0" fillId="11" borderId="1" xfId="0" applyFill="1" applyBorder="1" applyAlignment="1">
      <alignment vertical="center" wrapText="1"/>
    </xf>
    <xf numFmtId="0" fontId="0" fillId="12" borderId="1" xfId="0" applyFill="1" applyBorder="1">
      <alignment vertical="center"/>
    </xf>
    <xf numFmtId="0" fontId="0" fillId="1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85" fontId="51" fillId="0" borderId="1" xfId="0" applyNumberFormat="1" applyFont="1" applyBorder="1" applyAlignment="1">
      <alignment horizontal="center" vertical="center" wrapText="1"/>
    </xf>
    <xf numFmtId="18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 wrapText="1"/>
    </xf>
    <xf numFmtId="184" fontId="0" fillId="12" borderId="1" xfId="0" applyNumberForma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52" fillId="12" borderId="1" xfId="0" applyFont="1" applyFill="1" applyBorder="1" applyAlignment="1">
      <alignment vertical="center" wrapText="1"/>
    </xf>
    <xf numFmtId="0" fontId="0" fillId="12" borderId="1" xfId="0" applyFill="1" applyBorder="1" applyAlignment="1">
      <alignment vertical="center" wrapText="1"/>
    </xf>
    <xf numFmtId="0" fontId="27" fillId="11" borderId="1" xfId="0" applyFont="1" applyFill="1" applyBorder="1" applyAlignment="1">
      <alignment vertical="center" wrapText="1"/>
    </xf>
    <xf numFmtId="184" fontId="0" fillId="11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7" fillId="14" borderId="1" xfId="0" applyFont="1" applyFill="1" applyBorder="1" applyAlignment="1">
      <alignment vertical="center" wrapText="1"/>
    </xf>
    <xf numFmtId="0" fontId="0" fillId="14" borderId="1" xfId="0" applyFill="1" applyBorder="1" applyAlignment="1">
      <alignment vertical="center" wrapText="1"/>
    </xf>
    <xf numFmtId="185" fontId="51" fillId="1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7" fillId="15" borderId="30" xfId="0" applyFont="1" applyFill="1" applyBorder="1">
      <alignment vertical="center"/>
    </xf>
    <xf numFmtId="0" fontId="27" fillId="15" borderId="30" xfId="0" applyFont="1" applyFill="1" applyBorder="1" applyAlignment="1">
      <alignment vertical="center" wrapText="1"/>
    </xf>
    <xf numFmtId="0" fontId="27" fillId="15" borderId="30" xfId="0" applyFont="1" applyFill="1" applyBorder="1" applyAlignment="1">
      <alignment horizontal="center" vertical="center"/>
    </xf>
    <xf numFmtId="184" fontId="27" fillId="15" borderId="30" xfId="0" applyNumberFormat="1" applyFont="1" applyFill="1" applyBorder="1" applyAlignment="1">
      <alignment horizontal="center" vertical="center"/>
    </xf>
    <xf numFmtId="0" fontId="27" fillId="15" borderId="30" xfId="0" applyFont="1" applyFill="1" applyBorder="1" applyAlignment="1">
      <alignment horizontal="left" vertical="center" wrapText="1"/>
    </xf>
    <xf numFmtId="18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7" fillId="16" borderId="1" xfId="0" applyFont="1" applyFill="1" applyBorder="1" applyAlignment="1">
      <alignment vertical="center" wrapText="1"/>
    </xf>
    <xf numFmtId="0" fontId="27" fillId="16" borderId="1" xfId="0" applyFont="1" applyFill="1" applyBorder="1">
      <alignment vertical="center"/>
    </xf>
    <xf numFmtId="184" fontId="27" fillId="16" borderId="1" xfId="0" applyNumberFormat="1" applyFont="1" applyFill="1" applyBorder="1" applyAlignment="1">
      <alignment horizontal="center" vertical="center"/>
    </xf>
    <xf numFmtId="0" fontId="27" fillId="16" borderId="1" xfId="0" applyFont="1" applyFill="1" applyBorder="1" applyAlignment="1">
      <alignment horizontal="center" vertical="center"/>
    </xf>
    <xf numFmtId="0" fontId="27" fillId="16" borderId="1" xfId="0" applyFont="1" applyFill="1" applyBorder="1" applyAlignment="1">
      <alignment horizontal="left" vertical="center" wrapText="1"/>
    </xf>
    <xf numFmtId="0" fontId="27" fillId="18" borderId="1" xfId="0" applyFont="1" applyFill="1" applyBorder="1">
      <alignment vertical="center"/>
    </xf>
    <xf numFmtId="0" fontId="27" fillId="18" borderId="1" xfId="0" applyFont="1" applyFill="1" applyBorder="1" applyAlignment="1">
      <alignment vertical="center" wrapText="1"/>
    </xf>
    <xf numFmtId="184" fontId="27" fillId="18" borderId="1" xfId="0" applyNumberFormat="1" applyFont="1" applyFill="1" applyBorder="1" applyAlignment="1">
      <alignment horizontal="center" vertical="center"/>
    </xf>
    <xf numFmtId="0" fontId="27" fillId="18" borderId="1" xfId="0" applyFont="1" applyFill="1" applyBorder="1" applyAlignment="1">
      <alignment horizontal="center" vertical="center"/>
    </xf>
    <xf numFmtId="0" fontId="27" fillId="18" borderId="1" xfId="0" applyFont="1" applyFill="1" applyBorder="1" applyAlignment="1">
      <alignment horizontal="left" vertical="center" wrapText="1"/>
    </xf>
    <xf numFmtId="0" fontId="0" fillId="19" borderId="1" xfId="0" applyFill="1" applyBorder="1">
      <alignment vertical="center"/>
    </xf>
    <xf numFmtId="0" fontId="27" fillId="19" borderId="1" xfId="0" applyFont="1" applyFill="1" applyBorder="1" applyAlignment="1">
      <alignment vertical="center" wrapText="1"/>
    </xf>
    <xf numFmtId="0" fontId="0" fillId="19" borderId="1" xfId="0" applyFill="1" applyBorder="1" applyAlignment="1">
      <alignment vertical="center" wrapText="1"/>
    </xf>
    <xf numFmtId="0" fontId="0" fillId="19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left" vertical="center" wrapText="1"/>
    </xf>
    <xf numFmtId="14" fontId="6" fillId="5" borderId="1" xfId="0" applyNumberFormat="1" applyFont="1" applyFill="1" applyBorder="1" applyAlignment="1">
      <alignment horizontal="center" vertical="center" wrapText="1"/>
    </xf>
    <xf numFmtId="184" fontId="0" fillId="19" borderId="1" xfId="0" applyNumberForma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8" fillId="19" borderId="1" xfId="0" applyFont="1" applyFill="1" applyBorder="1">
      <alignment vertical="center"/>
    </xf>
    <xf numFmtId="0" fontId="52" fillId="19" borderId="1" xfId="0" applyFont="1" applyFill="1" applyBorder="1" applyAlignment="1">
      <alignment vertical="center" wrapText="1"/>
    </xf>
    <xf numFmtId="0" fontId="28" fillId="19" borderId="1" xfId="0" applyFont="1" applyFill="1" applyBorder="1" applyAlignment="1">
      <alignment vertical="center" wrapText="1"/>
    </xf>
    <xf numFmtId="184" fontId="28" fillId="19" borderId="1" xfId="0" applyNumberFormat="1" applyFont="1" applyFill="1" applyBorder="1" applyAlignment="1">
      <alignment horizontal="center" vertical="center"/>
    </xf>
    <xf numFmtId="0" fontId="28" fillId="19" borderId="1" xfId="0" applyFont="1" applyFill="1" applyBorder="1" applyAlignment="1">
      <alignment horizontal="center" vertical="center"/>
    </xf>
    <xf numFmtId="0" fontId="28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184" fontId="28" fillId="0" borderId="1" xfId="0" applyNumberFormat="1" applyFont="1" applyBorder="1" applyAlignment="1">
      <alignment horizontal="center" vertical="center"/>
    </xf>
    <xf numFmtId="0" fontId="5" fillId="13" borderId="1" xfId="0" applyFont="1" applyFill="1" applyBorder="1" applyAlignment="1">
      <alignment vertical="center" wrapText="1"/>
    </xf>
    <xf numFmtId="0" fontId="28" fillId="13" borderId="1" xfId="0" applyFont="1" applyFill="1" applyBorder="1" applyAlignment="1">
      <alignment vertical="center" wrapText="1"/>
    </xf>
    <xf numFmtId="185" fontId="51" fillId="13" borderId="1" xfId="0" applyNumberFormat="1" applyFont="1" applyFill="1" applyBorder="1" applyAlignment="1">
      <alignment horizontal="center" vertical="center" wrapText="1"/>
    </xf>
    <xf numFmtId="14" fontId="6" fillId="13" borderId="1" xfId="0" applyNumberFormat="1" applyFont="1" applyFill="1" applyBorder="1" applyAlignment="1">
      <alignment horizontal="center" vertical="center" wrapText="1"/>
    </xf>
    <xf numFmtId="184" fontId="28" fillId="13" borderId="1" xfId="0" applyNumberFormat="1" applyFont="1" applyFill="1" applyBorder="1" applyAlignment="1">
      <alignment horizontal="center" vertical="center"/>
    </xf>
    <xf numFmtId="0" fontId="28" fillId="13" borderId="1" xfId="0" applyFont="1" applyFill="1" applyBorder="1">
      <alignment vertical="center"/>
    </xf>
    <xf numFmtId="0" fontId="0" fillId="13" borderId="1" xfId="0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left" vertical="center" wrapText="1"/>
    </xf>
    <xf numFmtId="14" fontId="6" fillId="5" borderId="30" xfId="0" applyNumberFormat="1" applyFont="1" applyFill="1" applyBorder="1" applyAlignment="1">
      <alignment horizontal="center" vertical="center" wrapText="1"/>
    </xf>
    <xf numFmtId="14" fontId="6" fillId="0" borderId="30" xfId="0" applyNumberFormat="1" applyFont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7" borderId="1" xfId="0" applyFill="1" applyBorder="1" applyAlignment="1">
      <alignment vertical="center" wrapText="1"/>
    </xf>
    <xf numFmtId="184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 wrapText="1"/>
    </xf>
    <xf numFmtId="0" fontId="0" fillId="14" borderId="1" xfId="0" applyFill="1" applyBorder="1">
      <alignment vertical="center"/>
    </xf>
    <xf numFmtId="184" fontId="0" fillId="14" borderId="1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left" vertical="center" wrapText="1"/>
    </xf>
    <xf numFmtId="184" fontId="0" fillId="9" borderId="1" xfId="0" applyNumberFormat="1" applyFill="1" applyBorder="1" applyAlignment="1">
      <alignment horizontal="center" vertical="center"/>
    </xf>
    <xf numFmtId="185" fontId="51" fillId="20" borderId="1" xfId="0" applyNumberFormat="1" applyFont="1" applyFill="1" applyBorder="1" applyAlignment="1">
      <alignment horizontal="center" vertical="center" wrapText="1"/>
    </xf>
    <xf numFmtId="0" fontId="0" fillId="18" borderId="1" xfId="0" applyFill="1" applyBorder="1" applyAlignment="1">
      <alignment vertical="center" wrapText="1"/>
    </xf>
    <xf numFmtId="0" fontId="0" fillId="18" borderId="1" xfId="0" applyFill="1" applyBorder="1">
      <alignment vertical="center"/>
    </xf>
    <xf numFmtId="184" fontId="0" fillId="18" borderId="1" xfId="0" applyNumberForma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left" vertical="center" wrapText="1"/>
    </xf>
    <xf numFmtId="184" fontId="0" fillId="18" borderId="1" xfId="0" applyNumberFormat="1" applyFill="1" applyBorder="1" applyAlignment="1">
      <alignment horizontal="center" vertical="center" wrapText="1"/>
    </xf>
    <xf numFmtId="0" fontId="53" fillId="0" borderId="1" xfId="0" applyFont="1" applyBorder="1">
      <alignment vertical="center"/>
    </xf>
    <xf numFmtId="0" fontId="54" fillId="0" borderId="1" xfId="0" applyFont="1" applyBorder="1" applyAlignment="1">
      <alignment vertical="center" wrapText="1"/>
    </xf>
    <xf numFmtId="0" fontId="53" fillId="0" borderId="1" xfId="0" applyFont="1" applyBorder="1" applyAlignment="1">
      <alignment vertical="center" wrapText="1"/>
    </xf>
    <xf numFmtId="185" fontId="55" fillId="0" borderId="1" xfId="0" applyNumberFormat="1" applyFont="1" applyBorder="1" applyAlignment="1">
      <alignment horizontal="center" vertical="center" wrapText="1"/>
    </xf>
    <xf numFmtId="184" fontId="53" fillId="0" borderId="1" xfId="0" applyNumberFormat="1" applyFont="1" applyBorder="1" applyAlignment="1">
      <alignment horizontal="center" vertical="center"/>
    </xf>
    <xf numFmtId="14" fontId="5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84" fontId="53" fillId="0" borderId="1" xfId="0" applyNumberFormat="1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0" fontId="53" fillId="7" borderId="1" xfId="0" applyFont="1" applyFill="1" applyBorder="1">
      <alignment vertical="center"/>
    </xf>
    <xf numFmtId="0" fontId="53" fillId="7" borderId="1" xfId="0" applyFont="1" applyFill="1" applyBorder="1" applyAlignment="1">
      <alignment vertical="center" wrapText="1"/>
    </xf>
    <xf numFmtId="184" fontId="53" fillId="7" borderId="1" xfId="0" applyNumberFormat="1" applyFont="1" applyFill="1" applyBorder="1" applyAlignment="1">
      <alignment horizontal="center" vertical="center"/>
    </xf>
    <xf numFmtId="0" fontId="53" fillId="7" borderId="1" xfId="0" applyFont="1" applyFill="1" applyBorder="1" applyAlignment="1">
      <alignment horizontal="center" vertical="center"/>
    </xf>
    <xf numFmtId="14" fontId="56" fillId="0" borderId="30" xfId="0" applyNumberFormat="1" applyFont="1" applyBorder="1" applyAlignment="1">
      <alignment horizontal="center" vertical="center" wrapText="1"/>
    </xf>
    <xf numFmtId="9" fontId="53" fillId="0" borderId="1" xfId="0" applyNumberFormat="1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53" fillId="21" borderId="1" xfId="0" applyFont="1" applyFill="1" applyBorder="1">
      <alignment vertical="center"/>
    </xf>
    <xf numFmtId="14" fontId="56" fillId="21" borderId="1" xfId="0" applyNumberFormat="1" applyFont="1" applyFill="1" applyBorder="1" applyAlignment="1">
      <alignment horizontal="center" vertical="center" wrapText="1"/>
    </xf>
    <xf numFmtId="9" fontId="53" fillId="21" borderId="1" xfId="0" applyNumberFormat="1" applyFont="1" applyFill="1" applyBorder="1" applyAlignment="1">
      <alignment horizontal="center" vertical="center"/>
    </xf>
    <xf numFmtId="0" fontId="53" fillId="21" borderId="1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left" vertical="center" wrapText="1"/>
    </xf>
    <xf numFmtId="0" fontId="53" fillId="21" borderId="1" xfId="0" applyFont="1" applyFill="1" applyBorder="1" applyAlignment="1">
      <alignment vertical="center" wrapText="1"/>
    </xf>
    <xf numFmtId="184" fontId="53" fillId="21" borderId="1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53" fillId="7" borderId="1" xfId="0" applyFont="1" applyFill="1" applyBorder="1" applyAlignment="1">
      <alignment horizontal="center" vertical="center" wrapText="1"/>
    </xf>
    <xf numFmtId="14" fontId="56" fillId="5" borderId="30" xfId="0" applyNumberFormat="1" applyFont="1" applyFill="1" applyBorder="1" applyAlignment="1">
      <alignment horizontal="center" vertical="center" wrapText="1"/>
    </xf>
    <xf numFmtId="0" fontId="0" fillId="22" borderId="1" xfId="0" applyFill="1" applyBorder="1">
      <alignment vertical="center"/>
    </xf>
    <xf numFmtId="0" fontId="27" fillId="22" borderId="1" xfId="0" applyFont="1" applyFill="1" applyBorder="1" applyAlignment="1">
      <alignment vertical="center" wrapText="1"/>
    </xf>
    <xf numFmtId="0" fontId="0" fillId="22" borderId="1" xfId="0" applyFill="1" applyBorder="1" applyAlignment="1">
      <alignment vertical="center" wrapText="1"/>
    </xf>
    <xf numFmtId="184" fontId="0" fillId="22" borderId="1" xfId="0" applyNumberFormat="1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left" vertical="center" wrapText="1"/>
    </xf>
    <xf numFmtId="0" fontId="27" fillId="12" borderId="1" xfId="0" applyFont="1" applyFill="1" applyBorder="1">
      <alignment vertical="center"/>
    </xf>
    <xf numFmtId="0" fontId="27" fillId="12" borderId="1" xfId="0" applyFont="1" applyFill="1" applyBorder="1" applyAlignment="1">
      <alignment vertical="center" wrapText="1"/>
    </xf>
    <xf numFmtId="0" fontId="27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left" vertical="center" wrapText="1"/>
    </xf>
    <xf numFmtId="9" fontId="0" fillId="12" borderId="1" xfId="0" applyNumberFormat="1" applyFill="1" applyBorder="1" applyAlignment="1">
      <alignment horizontal="center" vertical="center"/>
    </xf>
    <xf numFmtId="0" fontId="50" fillId="0" borderId="1" xfId="0" applyFont="1" applyBorder="1" applyAlignment="1">
      <alignment horizontal="left" vertical="center" wrapText="1"/>
    </xf>
    <xf numFmtId="9" fontId="53" fillId="0" borderId="1" xfId="0" applyNumberFormat="1" applyFont="1" applyBorder="1" applyAlignment="1">
      <alignment horizontal="center" vertical="center" wrapText="1"/>
    </xf>
    <xf numFmtId="0" fontId="27" fillId="23" borderId="1" xfId="0" applyFont="1" applyFill="1" applyBorder="1" applyAlignment="1">
      <alignment vertical="center" wrapText="1"/>
    </xf>
    <xf numFmtId="0" fontId="0" fillId="23" borderId="1" xfId="0" applyFill="1" applyBorder="1" applyAlignment="1">
      <alignment vertical="center" wrapText="1"/>
    </xf>
    <xf numFmtId="0" fontId="0" fillId="23" borderId="1" xfId="0" applyFill="1" applyBorder="1">
      <alignment vertical="center"/>
    </xf>
    <xf numFmtId="184" fontId="0" fillId="24" borderId="1" xfId="0" applyNumberFormat="1" applyFill="1" applyBorder="1" applyAlignment="1">
      <alignment horizontal="center" vertical="center"/>
    </xf>
    <xf numFmtId="184" fontId="0" fillId="23" borderId="1" xfId="0" applyNumberFormat="1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14" fontId="53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85" fontId="51" fillId="11" borderId="1" xfId="0" applyNumberFormat="1" applyFont="1" applyFill="1" applyBorder="1" applyAlignment="1">
      <alignment horizontal="center" vertical="center" wrapText="1"/>
    </xf>
    <xf numFmtId="9" fontId="0" fillId="11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 wrapText="1"/>
    </xf>
    <xf numFmtId="0" fontId="27" fillId="25" borderId="1" xfId="0" applyFont="1" applyFill="1" applyBorder="1">
      <alignment vertical="center"/>
    </xf>
    <xf numFmtId="0" fontId="27" fillId="25" borderId="1" xfId="0" applyFont="1" applyFill="1" applyBorder="1" applyAlignment="1">
      <alignment vertical="center" wrapText="1"/>
    </xf>
    <xf numFmtId="0" fontId="0" fillId="25" borderId="1" xfId="0" applyFill="1" applyBorder="1" applyAlignment="1">
      <alignment vertical="center" wrapText="1"/>
    </xf>
    <xf numFmtId="185" fontId="51" fillId="25" borderId="1" xfId="0" applyNumberFormat="1" applyFont="1" applyFill="1" applyBorder="1" applyAlignment="1">
      <alignment horizontal="center" vertical="center" wrapText="1"/>
    </xf>
    <xf numFmtId="184" fontId="0" fillId="25" borderId="1" xfId="0" applyNumberFormat="1" applyFill="1" applyBorder="1" applyAlignment="1">
      <alignment horizontal="center" vertical="center"/>
    </xf>
    <xf numFmtId="9" fontId="0" fillId="25" borderId="1" xfId="0" applyNumberForma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left" vertical="center" wrapText="1"/>
    </xf>
    <xf numFmtId="0" fontId="27" fillId="8" borderId="1" xfId="0" applyFont="1" applyFill="1" applyBorder="1">
      <alignment vertical="center"/>
    </xf>
    <xf numFmtId="0" fontId="27" fillId="8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185" fontId="51" fillId="8" borderId="1" xfId="0" applyNumberFormat="1" applyFont="1" applyFill="1" applyBorder="1" applyAlignment="1">
      <alignment horizontal="center" vertical="center" wrapText="1"/>
    </xf>
    <xf numFmtId="184" fontId="0" fillId="8" borderId="1" xfId="0" applyNumberFormat="1" applyFill="1" applyBorder="1" applyAlignment="1">
      <alignment horizontal="center" vertical="center"/>
    </xf>
    <xf numFmtId="9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 wrapText="1"/>
    </xf>
    <xf numFmtId="14" fontId="6" fillId="8" borderId="30" xfId="0" applyNumberFormat="1" applyFont="1" applyFill="1" applyBorder="1" applyAlignment="1">
      <alignment horizontal="center" vertical="center" wrapText="1"/>
    </xf>
    <xf numFmtId="14" fontId="6" fillId="12" borderId="30" xfId="0" applyNumberFormat="1" applyFont="1" applyFill="1" applyBorder="1" applyAlignment="1">
      <alignment horizontal="center" vertical="center" wrapText="1"/>
    </xf>
    <xf numFmtId="49" fontId="7" fillId="0" borderId="0" xfId="132" applyNumberFormat="1" applyFont="1" applyAlignment="1">
      <alignment horizontal="left" vertical="center" wrapText="1"/>
    </xf>
    <xf numFmtId="49" fontId="7" fillId="0" borderId="0" xfId="132" applyNumberFormat="1" applyFont="1" applyAlignment="1">
      <alignment horizontal="left" vertical="top" wrapText="1"/>
    </xf>
    <xf numFmtId="0" fontId="7" fillId="2" borderId="21" xfId="131" applyFont="1" applyFill="1" applyBorder="1" applyAlignment="1">
      <alignment horizontal="center" vertical="center" wrapText="1"/>
    </xf>
    <xf numFmtId="0" fontId="2" fillId="3" borderId="14" xfId="131" applyFont="1" applyFill="1" applyBorder="1" applyAlignment="1">
      <alignment horizontal="center" vertical="center" wrapText="1"/>
    </xf>
    <xf numFmtId="0" fontId="7" fillId="2" borderId="1" xfId="131" applyFont="1" applyFill="1" applyBorder="1" applyAlignment="1">
      <alignment horizontal="center" vertical="center" wrapText="1"/>
    </xf>
    <xf numFmtId="49" fontId="7" fillId="0" borderId="17" xfId="129" applyNumberFormat="1" applyFont="1" applyBorder="1" applyAlignment="1">
      <alignment horizontal="center" vertical="center" wrapText="1"/>
    </xf>
    <xf numFmtId="0" fontId="58" fillId="0" borderId="1" xfId="129" applyFont="1" applyBorder="1" applyAlignment="1">
      <alignment horizontal="center" vertical="center" wrapText="1"/>
    </xf>
    <xf numFmtId="0" fontId="7" fillId="9" borderId="18" xfId="118" applyFont="1" applyFill="1" applyBorder="1" applyAlignment="1">
      <alignment horizontal="left" vertical="center" wrapText="1"/>
    </xf>
    <xf numFmtId="0" fontId="6" fillId="9" borderId="1" xfId="131" applyFont="1" applyFill="1" applyBorder="1" applyAlignment="1">
      <alignment horizontal="center" vertical="center" wrapText="1"/>
    </xf>
    <xf numFmtId="0" fontId="7" fillId="0" borderId="18" xfId="81" applyFont="1" applyBorder="1" applyAlignment="1">
      <alignment horizontal="left" vertical="center" wrapText="1"/>
    </xf>
    <xf numFmtId="0" fontId="7" fillId="0" borderId="1" xfId="132" applyFont="1" applyBorder="1" applyAlignment="1">
      <alignment horizontal="center" vertical="center" wrapText="1"/>
    </xf>
    <xf numFmtId="0" fontId="6" fillId="0" borderId="18" xfId="132" applyFont="1" applyBorder="1" applyAlignment="1">
      <alignment horizontal="left" vertical="top" wrapText="1"/>
    </xf>
    <xf numFmtId="49" fontId="26" fillId="0" borderId="0" xfId="132" applyNumberFormat="1" applyFont="1" applyAlignment="1">
      <alignment horizontal="left" vertical="top"/>
    </xf>
    <xf numFmtId="9" fontId="27" fillId="15" borderId="30" xfId="0" applyNumberFormat="1" applyFont="1" applyFill="1" applyBorder="1">
      <alignment vertical="center"/>
    </xf>
    <xf numFmtId="0" fontId="60" fillId="0" borderId="1" xfId="0" applyFont="1" applyBorder="1" applyAlignment="1">
      <alignment vertical="center" wrapText="1"/>
    </xf>
    <xf numFmtId="0" fontId="60" fillId="0" borderId="1" xfId="0" applyFont="1" applyBorder="1" applyAlignment="1">
      <alignment horizontal="center" vertical="center"/>
    </xf>
    <xf numFmtId="184" fontId="27" fillId="9" borderId="30" xfId="0" applyNumberFormat="1" applyFont="1" applyFill="1" applyBorder="1" applyAlignment="1">
      <alignment horizontal="center" vertical="center"/>
    </xf>
    <xf numFmtId="184" fontId="60" fillId="9" borderId="1" xfId="0" applyNumberFormat="1" applyFont="1" applyFill="1" applyBorder="1" applyAlignment="1">
      <alignment horizontal="center" vertical="center"/>
    </xf>
    <xf numFmtId="185" fontId="117" fillId="25" borderId="1" xfId="0" applyNumberFormat="1" applyFont="1" applyFill="1" applyBorder="1" applyAlignment="1">
      <alignment horizontal="center" vertical="center" wrapText="1"/>
    </xf>
    <xf numFmtId="184" fontId="27" fillId="25" borderId="30" xfId="0" applyNumberFormat="1" applyFont="1" applyFill="1" applyBorder="1" applyAlignment="1">
      <alignment horizontal="center" vertical="center"/>
    </xf>
    <xf numFmtId="184" fontId="27" fillId="25" borderId="1" xfId="0" applyNumberFormat="1" applyFont="1" applyFill="1" applyBorder="1" applyAlignment="1">
      <alignment horizontal="center" vertical="center"/>
    </xf>
    <xf numFmtId="9" fontId="27" fillId="25" borderId="1" xfId="0" applyNumberFormat="1" applyFont="1" applyFill="1" applyBorder="1" applyAlignment="1">
      <alignment horizontal="center" vertical="center"/>
    </xf>
    <xf numFmtId="0" fontId="27" fillId="25" borderId="30" xfId="0" applyFont="1" applyFill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7" fillId="25" borderId="1" xfId="0" applyFont="1" applyFill="1" applyBorder="1" applyAlignment="1">
      <alignment horizontal="left" vertical="center" wrapText="1"/>
    </xf>
    <xf numFmtId="0" fontId="27" fillId="25" borderId="0" xfId="0" applyFont="1" applyFill="1">
      <alignment vertical="center"/>
    </xf>
    <xf numFmtId="0" fontId="27" fillId="9" borderId="30" xfId="0" applyFont="1" applyFill="1" applyBorder="1" applyAlignment="1">
      <alignment horizontal="center" vertical="center"/>
    </xf>
    <xf numFmtId="0" fontId="60" fillId="9" borderId="24" xfId="0" applyFont="1" applyFill="1" applyBorder="1">
      <alignment vertical="center"/>
    </xf>
    <xf numFmtId="0" fontId="60" fillId="9" borderId="24" xfId="0" applyFont="1" applyFill="1" applyBorder="1" applyAlignment="1">
      <alignment vertical="center" wrapText="1"/>
    </xf>
    <xf numFmtId="184" fontId="60" fillId="9" borderId="30" xfId="0" applyNumberFormat="1" applyFont="1" applyFill="1" applyBorder="1" applyAlignment="1">
      <alignment horizontal="center" vertical="center"/>
    </xf>
    <xf numFmtId="184" fontId="60" fillId="9" borderId="24" xfId="0" applyNumberFormat="1" applyFont="1" applyFill="1" applyBorder="1" applyAlignment="1">
      <alignment horizontal="center" vertical="center"/>
    </xf>
    <xf numFmtId="9" fontId="60" fillId="9" borderId="24" xfId="0" applyNumberFormat="1" applyFont="1" applyFill="1" applyBorder="1">
      <alignment vertical="center"/>
    </xf>
    <xf numFmtId="0" fontId="60" fillId="9" borderId="30" xfId="0" applyFont="1" applyFill="1" applyBorder="1" applyAlignment="1">
      <alignment horizontal="center" vertical="center"/>
    </xf>
    <xf numFmtId="0" fontId="60" fillId="9" borderId="24" xfId="0" applyFont="1" applyFill="1" applyBorder="1" applyAlignment="1">
      <alignment horizontal="center" vertical="center"/>
    </xf>
    <xf numFmtId="0" fontId="60" fillId="9" borderId="24" xfId="0" applyFont="1" applyFill="1" applyBorder="1" applyAlignment="1">
      <alignment horizontal="left" vertical="center" wrapText="1"/>
    </xf>
    <xf numFmtId="0" fontId="60" fillId="9" borderId="0" xfId="0" applyFont="1" applyFill="1">
      <alignment vertical="center"/>
    </xf>
    <xf numFmtId="0" fontId="111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7" fillId="0" borderId="0" xfId="0" applyFont="1" applyAlignment="1">
      <alignment horizontal="left" vertical="center" wrapText="1"/>
    </xf>
    <xf numFmtId="0" fontId="31" fillId="9" borderId="0" xfId="131" applyFont="1" applyFill="1" applyAlignment="1">
      <alignment horizontal="center" vertical="center" wrapText="1"/>
    </xf>
    <xf numFmtId="0" fontId="57" fillId="9" borderId="0" xfId="131" applyFont="1" applyFill="1" applyAlignment="1">
      <alignment horizontal="center" vertical="center" wrapText="1"/>
    </xf>
    <xf numFmtId="0" fontId="36" fillId="0" borderId="0" xfId="112" applyFont="1" applyAlignment="1">
      <alignment horizontal="center" vertical="center"/>
    </xf>
    <xf numFmtId="0" fontId="37" fillId="0" borderId="26" xfId="81" applyFont="1" applyBorder="1" applyAlignment="1">
      <alignment horizontal="center" vertical="center" wrapText="1"/>
    </xf>
    <xf numFmtId="0" fontId="37" fillId="0" borderId="27" xfId="81" applyFont="1" applyBorder="1" applyAlignment="1">
      <alignment horizontal="center" vertical="center"/>
    </xf>
    <xf numFmtId="0" fontId="37" fillId="0" borderId="28" xfId="81" applyFont="1" applyBorder="1" applyAlignment="1">
      <alignment horizontal="center" vertical="center"/>
    </xf>
    <xf numFmtId="0" fontId="37" fillId="0" borderId="27" xfId="81" applyFont="1" applyBorder="1" applyAlignment="1">
      <alignment horizontal="center" vertical="center" wrapText="1"/>
    </xf>
    <xf numFmtId="0" fontId="37" fillId="0" borderId="28" xfId="81" applyFont="1" applyBorder="1" applyAlignment="1">
      <alignment horizontal="center" vertical="center" wrapText="1"/>
    </xf>
    <xf numFmtId="0" fontId="37" fillId="0" borderId="27" xfId="81" applyFont="1" applyBorder="1" applyAlignment="1">
      <alignment horizontal="center" vertical="top"/>
    </xf>
    <xf numFmtId="0" fontId="8" fillId="0" borderId="1" xfId="86" applyFont="1" applyBorder="1" applyAlignment="1">
      <alignment horizontal="center" vertical="center" wrapText="1"/>
    </xf>
    <xf numFmtId="58" fontId="8" fillId="0" borderId="1" xfId="86" applyNumberFormat="1" applyFont="1" applyBorder="1" applyAlignment="1">
      <alignment horizontal="center" vertical="center" wrapText="1"/>
    </xf>
    <xf numFmtId="49" fontId="9" fillId="0" borderId="17" xfId="86" applyNumberFormat="1" applyFont="1" applyBorder="1" applyAlignment="1">
      <alignment horizontal="center" vertical="center"/>
    </xf>
    <xf numFmtId="49" fontId="9" fillId="0" borderId="18" xfId="86" applyNumberFormat="1" applyFont="1" applyBorder="1" applyAlignment="1">
      <alignment horizontal="center" vertical="center"/>
    </xf>
    <xf numFmtId="49" fontId="9" fillId="0" borderId="10" xfId="86" applyNumberFormat="1" applyFont="1" applyBorder="1" applyAlignment="1">
      <alignment horizontal="center" vertical="center"/>
    </xf>
    <xf numFmtId="0" fontId="9" fillId="0" borderId="1" xfId="86" applyFont="1" applyBorder="1" applyAlignment="1">
      <alignment horizontal="center" vertical="center" wrapText="1"/>
    </xf>
    <xf numFmtId="0" fontId="16" fillId="6" borderId="1" xfId="86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5" fillId="0" borderId="19" xfId="86" applyFont="1" applyBorder="1" applyAlignment="1">
      <alignment horizontal="center" vertical="center" wrapText="1"/>
    </xf>
    <xf numFmtId="0" fontId="15" fillId="0" borderId="15" xfId="86" applyFont="1" applyBorder="1" applyAlignment="1">
      <alignment horizontal="center" vertical="center" wrapText="1"/>
    </xf>
    <xf numFmtId="0" fontId="15" fillId="0" borderId="20" xfId="86" applyFont="1" applyBorder="1" applyAlignment="1">
      <alignment horizontal="center" vertical="center" wrapText="1"/>
    </xf>
    <xf numFmtId="0" fontId="15" fillId="0" borderId="21" xfId="86" applyFont="1" applyBorder="1" applyAlignment="1">
      <alignment horizontal="center" vertical="center" wrapText="1"/>
    </xf>
    <xf numFmtId="0" fontId="15" fillId="0" borderId="16" xfId="86" applyFont="1" applyBorder="1" applyAlignment="1">
      <alignment horizontal="center" vertical="center" wrapText="1"/>
    </xf>
    <xf numFmtId="0" fontId="15" fillId="0" borderId="22" xfId="86" applyFont="1" applyBorder="1" applyAlignment="1">
      <alignment horizontal="center" vertical="center" wrapText="1"/>
    </xf>
    <xf numFmtId="0" fontId="12" fillId="0" borderId="19" xfId="86" applyFont="1" applyBorder="1" applyAlignment="1">
      <alignment horizontal="center" vertical="center"/>
    </xf>
    <xf numFmtId="0" fontId="12" fillId="0" borderId="15" xfId="86" applyFont="1" applyBorder="1" applyAlignment="1">
      <alignment horizontal="center" vertical="center"/>
    </xf>
    <xf numFmtId="0" fontId="12" fillId="0" borderId="20" xfId="86" applyFont="1" applyBorder="1" applyAlignment="1">
      <alignment horizontal="center" vertical="center"/>
    </xf>
    <xf numFmtId="0" fontId="12" fillId="0" borderId="21" xfId="86" applyFont="1" applyBorder="1" applyAlignment="1">
      <alignment horizontal="center" vertical="center"/>
    </xf>
    <xf numFmtId="0" fontId="12" fillId="0" borderId="16" xfId="86" applyFont="1" applyBorder="1" applyAlignment="1">
      <alignment horizontal="center" vertical="center"/>
    </xf>
    <xf numFmtId="0" fontId="12" fillId="0" borderId="22" xfId="86" applyFont="1" applyBorder="1" applyAlignment="1">
      <alignment horizontal="center" vertical="center"/>
    </xf>
    <xf numFmtId="0" fontId="19" fillId="7" borderId="17" xfId="0" applyFont="1" applyFill="1" applyBorder="1" applyAlignment="1">
      <alignment horizontal="center" vertical="center" wrapText="1"/>
    </xf>
    <xf numFmtId="0" fontId="19" fillId="7" borderId="10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7" borderId="15" xfId="0" applyFont="1" applyFill="1" applyBorder="1" applyAlignment="1">
      <alignment horizontal="center" vertical="center" wrapText="1"/>
    </xf>
    <xf numFmtId="0" fontId="19" fillId="7" borderId="20" xfId="0" applyFont="1" applyFill="1" applyBorder="1" applyAlignment="1">
      <alignment horizontal="center" vertical="center" wrapText="1"/>
    </xf>
    <xf numFmtId="0" fontId="18" fillId="0" borderId="17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20" fillId="0" borderId="17" xfId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20" fillId="0" borderId="18" xfId="1" applyFill="1" applyBorder="1" applyAlignment="1">
      <alignment horizontal="center" vertical="center" wrapText="1"/>
    </xf>
    <xf numFmtId="0" fontId="20" fillId="0" borderId="10" xfId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4" fillId="2" borderId="2" xfId="72" applyFont="1" applyFill="1" applyBorder="1" applyAlignment="1">
      <alignment horizontal="left" vertical="center" wrapText="1"/>
    </xf>
    <xf numFmtId="0" fontId="4" fillId="2" borderId="3" xfId="72" applyFont="1" applyFill="1" applyBorder="1" applyAlignment="1">
      <alignment horizontal="left" vertical="center" wrapText="1"/>
    </xf>
    <xf numFmtId="0" fontId="5" fillId="2" borderId="5" xfId="72" applyFont="1" applyFill="1" applyBorder="1" applyAlignment="1">
      <alignment horizontal="center" vertical="center" wrapText="1"/>
    </xf>
    <xf numFmtId="0" fontId="4" fillId="2" borderId="5" xfId="72" applyFont="1" applyFill="1" applyBorder="1" applyAlignment="1">
      <alignment vertical="center"/>
    </xf>
    <xf numFmtId="0" fontId="6" fillId="0" borderId="5" xfId="72" applyFont="1" applyBorder="1" applyAlignment="1">
      <alignment horizontal="center" vertical="center"/>
    </xf>
    <xf numFmtId="0" fontId="7" fillId="0" borderId="5" xfId="72" applyFont="1" applyBorder="1" applyAlignment="1">
      <alignment vertical="center"/>
    </xf>
    <xf numFmtId="0" fontId="4" fillId="2" borderId="5" xfId="72" applyFont="1" applyFill="1" applyBorder="1" applyAlignment="1">
      <alignment horizontal="center" vertical="center" wrapText="1"/>
    </xf>
    <xf numFmtId="0" fontId="7" fillId="0" borderId="5" xfId="72" applyFont="1" applyBorder="1" applyAlignment="1">
      <alignment horizontal="center" vertical="center"/>
    </xf>
    <xf numFmtId="0" fontId="6" fillId="0" borderId="8" xfId="72" applyFont="1" applyBorder="1" applyAlignment="1">
      <alignment horizontal="center" vertical="center"/>
    </xf>
    <xf numFmtId="0" fontId="7" fillId="0" borderId="14" xfId="72" applyFont="1" applyBorder="1" applyAlignment="1">
      <alignment horizontal="center" vertical="center"/>
    </xf>
    <xf numFmtId="0" fontId="7" fillId="0" borderId="12" xfId="72" applyFont="1" applyBorder="1" applyAlignment="1">
      <alignment horizontal="center" vertical="center"/>
    </xf>
  </cellXfs>
  <cellStyles count="172">
    <cellStyle name="_x000b_" xfId="25" xr:uid="{00000000-0005-0000-0000-000048000000}"/>
    <cellStyle name="_x000b__(品一课)GS零件清单管制平台081211" xfId="16" xr:uid="{00000000-0005-0000-0000-00003F000000}"/>
    <cellStyle name="??_Sheet1 (2)" xfId="32" xr:uid="{00000000-0005-0000-0000-00004F000000}"/>
    <cellStyle name="@ET_Style?{056CAB89-F39C-49B2-A679-55ABE82DD70B}" xfId="2" xr:uid="{00000000-0005-0000-0000-000031000000}"/>
    <cellStyle name="_V31&amp;v3R EPL-101011(国产化部2010-10-21 V3R组别区分）" xfId="33" xr:uid="{00000000-0005-0000-0000-000050000000}"/>
    <cellStyle name="_x005f_x000b_" xfId="11" xr:uid="{00000000-0005-0000-0000-00003A000000}"/>
    <cellStyle name="20% - 輔色1" xfId="35" xr:uid="{00000000-0005-0000-0000-000052000000}"/>
    <cellStyle name="20% - 輔色2" xfId="22" xr:uid="{00000000-0005-0000-0000-000045000000}"/>
    <cellStyle name="20% - 輔色3" xfId="24" xr:uid="{00000000-0005-0000-0000-000047000000}"/>
    <cellStyle name="20% - 輔色4" xfId="7" xr:uid="{00000000-0005-0000-0000-000036000000}"/>
    <cellStyle name="20% - 輔色5" xfId="27" xr:uid="{00000000-0005-0000-0000-00004A000000}"/>
    <cellStyle name="20% - 輔色6" xfId="28" xr:uid="{00000000-0005-0000-0000-00004B000000}"/>
    <cellStyle name="20% - 强调文字颜色 1 2" xfId="4" xr:uid="{00000000-0005-0000-0000-000033000000}"/>
    <cellStyle name="20% - 强调文字颜色 1 2 10" xfId="36" xr:uid="{00000000-0005-0000-0000-000053000000}"/>
    <cellStyle name="20% - 强调文字颜色 2 2" xfId="37" xr:uid="{00000000-0005-0000-0000-000054000000}"/>
    <cellStyle name="20% - 强调文字颜色 2 2 10" xfId="9" xr:uid="{00000000-0005-0000-0000-000038000000}"/>
    <cellStyle name="20% - 强调文字颜色 3 2" xfId="38" xr:uid="{00000000-0005-0000-0000-000055000000}"/>
    <cellStyle name="20% - 强调文字颜色 3 2 10" xfId="39" xr:uid="{00000000-0005-0000-0000-000056000000}"/>
    <cellStyle name="20% - 强调文字颜色 4 2" xfId="40" xr:uid="{00000000-0005-0000-0000-000057000000}"/>
    <cellStyle name="20% - 强调文字颜色 4 2 10" xfId="41" xr:uid="{00000000-0005-0000-0000-000058000000}"/>
    <cellStyle name="20% - 强调文字颜色 5 2" xfId="43" xr:uid="{00000000-0005-0000-0000-00005A000000}"/>
    <cellStyle name="20% - 强调文字颜色 5 2 10" xfId="44" xr:uid="{00000000-0005-0000-0000-00005B000000}"/>
    <cellStyle name="20% - 强调文字颜色 6 2" xfId="46" xr:uid="{00000000-0005-0000-0000-00005D000000}"/>
    <cellStyle name="20% - 强调文字颜色 6 2 10" xfId="47" xr:uid="{00000000-0005-0000-0000-00005E000000}"/>
    <cellStyle name="40% - 輔色1" xfId="49" xr:uid="{00000000-0005-0000-0000-000060000000}"/>
    <cellStyle name="40% - 輔色2" xfId="5" xr:uid="{00000000-0005-0000-0000-000034000000}"/>
    <cellStyle name="40% - 輔色3" xfId="50" xr:uid="{00000000-0005-0000-0000-000061000000}"/>
    <cellStyle name="40% - 輔色6" xfId="51" xr:uid="{00000000-0005-0000-0000-000062000000}"/>
    <cellStyle name="40% - 强调文字颜色 1 2" xfId="52" xr:uid="{00000000-0005-0000-0000-000063000000}"/>
    <cellStyle name="40% - 强调文字颜色 1 2 10" xfId="53" xr:uid="{00000000-0005-0000-0000-000064000000}"/>
    <cellStyle name="40% - 强调文字颜色 2 2" xfId="54" xr:uid="{00000000-0005-0000-0000-000065000000}"/>
    <cellStyle name="40% - 强调文字颜色 2 2 10" xfId="55" xr:uid="{00000000-0005-0000-0000-000066000000}"/>
    <cellStyle name="40% - 强调文字颜色 3 2" xfId="56" xr:uid="{00000000-0005-0000-0000-000067000000}"/>
    <cellStyle name="40% - 强调文字颜色 3 2 10" xfId="57" xr:uid="{00000000-0005-0000-0000-000068000000}"/>
    <cellStyle name="40% - 强调文字颜色 6 2" xfId="58" xr:uid="{00000000-0005-0000-0000-000069000000}"/>
    <cellStyle name="40% - 强调文字颜色 6 2 10" xfId="60" xr:uid="{00000000-0005-0000-0000-00006B000000}"/>
    <cellStyle name="60% - 輔色1" xfId="61" xr:uid="{00000000-0005-0000-0000-00006C000000}"/>
    <cellStyle name="60% - 輔色2" xfId="62" xr:uid="{00000000-0005-0000-0000-00006D000000}"/>
    <cellStyle name="60% - 輔色3" xfId="64" xr:uid="{00000000-0005-0000-0000-00006F000000}"/>
    <cellStyle name="60% - 輔色4" xfId="65" xr:uid="{00000000-0005-0000-0000-000070000000}"/>
    <cellStyle name="60% - 輔色5" xfId="66" xr:uid="{00000000-0005-0000-0000-000071000000}"/>
    <cellStyle name="60% - 輔色6" xfId="68" xr:uid="{00000000-0005-0000-0000-000073000000}"/>
    <cellStyle name="60% - 强调文字颜色 1 2" xfId="69" xr:uid="{00000000-0005-0000-0000-000074000000}"/>
    <cellStyle name="60% - 强调文字颜色 1 2 10" xfId="70" xr:uid="{00000000-0005-0000-0000-000075000000}"/>
    <cellStyle name="60% - 强调文字颜色 2 2" xfId="71" xr:uid="{00000000-0005-0000-0000-000076000000}"/>
    <cellStyle name="60% - 强调文字颜色 2 2 10" xfId="73" xr:uid="{00000000-0005-0000-0000-000078000000}"/>
    <cellStyle name="60% - 强调文字颜色 3 2" xfId="34" xr:uid="{00000000-0005-0000-0000-000051000000}"/>
    <cellStyle name="60% - 强调文字颜色 3 2 10" xfId="75" xr:uid="{00000000-0005-0000-0000-00007A000000}"/>
    <cellStyle name="60% - 强调文字颜色 4 2" xfId="77" xr:uid="{00000000-0005-0000-0000-00007C000000}"/>
    <cellStyle name="60% - 强调文字颜色 4 2 10" xfId="78" xr:uid="{00000000-0005-0000-0000-00007E000000}"/>
    <cellStyle name="60% - 强调文字颜色 5 2" xfId="79" xr:uid="{00000000-0005-0000-0000-00007F000000}"/>
    <cellStyle name="60% - 强调文字颜色 5 2 10" xfId="80" xr:uid="{00000000-0005-0000-0000-000080000000}"/>
    <cellStyle name="60% - 强调文字颜色 6 2" xfId="83" xr:uid="{00000000-0005-0000-0000-000083000000}"/>
    <cellStyle name="60% - 强调文字颜色 6 2 10" xfId="84" xr:uid="{00000000-0005-0000-0000-000084000000}"/>
    <cellStyle name="English" xfId="8" xr:uid="{00000000-0005-0000-0000-000037000000}"/>
    <cellStyle name="MyStyle" xfId="59" xr:uid="{00000000-0005-0000-0000-00006A000000}"/>
    <cellStyle name="no dec" xfId="85" xr:uid="{00000000-0005-0000-0000-000085000000}"/>
    <cellStyle name="NombreMTF" xfId="48" xr:uid="{00000000-0005-0000-0000-00005F000000}"/>
    <cellStyle name="Normal 2 3" xfId="86" xr:uid="{00000000-0005-0000-0000-000086000000}"/>
    <cellStyle name="Normal_(初版+说明)Kit Consolidation Request 061221 updated unique.common_2007-01-10-18-13-48-262" xfId="87" xr:uid="{00000000-0005-0000-0000-000087000000}"/>
    <cellStyle name="Standard_50010" xfId="89" xr:uid="{00000000-0005-0000-0000-00008B000000}"/>
    <cellStyle name=" [0.00]_A-sc98" xfId="17" xr:uid="{00000000-0005-0000-0000-000040000000}"/>
    <cellStyle name="_DE" xfId="90" xr:uid="{00000000-0005-0000-0000-00008C000000}"/>
    <cellStyle name="だ[0]_delong" xfId="91" xr:uid="{00000000-0005-0000-0000-00008D000000}"/>
    <cellStyle name="だ_delong" xfId="92" xr:uid="{00000000-0005-0000-0000-00008E000000}"/>
    <cellStyle name="?_??炩脹忣啃" xfId="94" xr:uid="{00000000-0005-0000-0000-000090000000}"/>
    <cellStyle name="百分比 2 2" xfId="95" xr:uid="{00000000-0005-0000-0000-000091000000}"/>
    <cellStyle name="備註" xfId="96" xr:uid="{00000000-0005-0000-0000-000092000000}"/>
    <cellStyle name="标题 1 2" xfId="88" xr:uid="{00000000-0005-0000-0000-000089000000}"/>
    <cellStyle name="标题 1 2 10" xfId="97" xr:uid="{00000000-0005-0000-0000-000093000000}"/>
    <cellStyle name="标题 2 2" xfId="98" xr:uid="{00000000-0005-0000-0000-000094000000}"/>
    <cellStyle name="标题 2 2 10" xfId="99" xr:uid="{00000000-0005-0000-0000-000095000000}"/>
    <cellStyle name="标题 3 2" xfId="101" xr:uid="{00000000-0005-0000-0000-000097000000}"/>
    <cellStyle name="标题 3 2 10" xfId="102" xr:uid="{00000000-0005-0000-0000-000098000000}"/>
    <cellStyle name="标题 4 2" xfId="103" xr:uid="{00000000-0005-0000-0000-000099000000}"/>
    <cellStyle name="标题 4 2 10" xfId="104" xr:uid="{00000000-0005-0000-0000-00009A000000}"/>
    <cellStyle name="标题 5" xfId="105" xr:uid="{00000000-0005-0000-0000-00009B000000}"/>
    <cellStyle name="标题 5 10" xfId="106" xr:uid="{00000000-0005-0000-0000-00009C000000}"/>
    <cellStyle name="標題" xfId="26" xr:uid="{00000000-0005-0000-0000-000049000000}"/>
    <cellStyle name="標題 1" xfId="107" xr:uid="{00000000-0005-0000-0000-00009D000000}"/>
    <cellStyle name="標題 2" xfId="108" xr:uid="{00000000-0005-0000-0000-00009E000000}"/>
    <cellStyle name="標題 3" xfId="109" xr:uid="{00000000-0005-0000-0000-00009F000000}"/>
    <cellStyle name="標題 4" xfId="110" xr:uid="{00000000-0005-0000-0000-0000A0000000}"/>
    <cellStyle name="標準 ﾘｽﾄ" xfId="111" xr:uid="{00000000-0005-0000-0000-0000A1000000}"/>
    <cellStyle name="標準_EES-A002-00-02_レビュー報告書 2" xfId="112" xr:uid="{00000000-0005-0000-0000-0000A2000000}"/>
    <cellStyle name="差 2" xfId="113" xr:uid="{00000000-0005-0000-0000-0000A3000000}"/>
    <cellStyle name="差 2 10" xfId="15" xr:uid="{00000000-0005-0000-0000-00003E000000}"/>
    <cellStyle name="常规" xfId="0" builtinId="0"/>
    <cellStyle name="常规 10 2" xfId="115" xr:uid="{00000000-0005-0000-0000-0000A5000000}"/>
    <cellStyle name="常规 109" xfId="116" xr:uid="{00000000-0005-0000-0000-0000A6000000}"/>
    <cellStyle name="常规 11 2" xfId="117" xr:uid="{00000000-0005-0000-0000-0000A7000000}"/>
    <cellStyle name="常规 12" xfId="67" xr:uid="{00000000-0005-0000-0000-000072000000}"/>
    <cellStyle name="常规 2" xfId="118" xr:uid="{00000000-0005-0000-0000-0000A8000000}"/>
    <cellStyle name="常规 2 17" xfId="119" xr:uid="{00000000-0005-0000-0000-0000A9000000}"/>
    <cellStyle name="常规 2 2" xfId="120" xr:uid="{00000000-0005-0000-0000-0000AA000000}"/>
    <cellStyle name="常规 2 2 2" xfId="121" xr:uid="{00000000-0005-0000-0000-0000AB000000}"/>
    <cellStyle name="常规 2 20" xfId="123" xr:uid="{00000000-0005-0000-0000-0000AD000000}"/>
    <cellStyle name="常规 2 3" xfId="81" xr:uid="{00000000-0005-0000-0000-000081000000}"/>
    <cellStyle name="常规 2 3 11" xfId="14" xr:uid="{00000000-0005-0000-0000-00003D000000}"/>
    <cellStyle name="常规 20" xfId="124" xr:uid="{00000000-0005-0000-0000-0000AE000000}"/>
    <cellStyle name="常规 3 2" xfId="125" xr:uid="{00000000-0005-0000-0000-0000AF000000}"/>
    <cellStyle name="常规 3 2 17" xfId="126" xr:uid="{00000000-0005-0000-0000-0000B0000000}"/>
    <cellStyle name="常规 4 3 6" xfId="127" xr:uid="{00000000-0005-0000-0000-0000B1000000}"/>
    <cellStyle name="常规 4 4" xfId="128" xr:uid="{00000000-0005-0000-0000-0000B2000000}"/>
    <cellStyle name="常规 5" xfId="72" xr:uid="{00000000-0005-0000-0000-000077000000}"/>
    <cellStyle name="常规 5 2" xfId="13" xr:uid="{00000000-0005-0000-0000-00003C000000}"/>
    <cellStyle name="常规 6" xfId="10" xr:uid="{00000000-0005-0000-0000-000039000000}"/>
    <cellStyle name="常规 6 2" xfId="129" xr:uid="{00000000-0005-0000-0000-0000B3000000}"/>
    <cellStyle name="常规 7" xfId="131" xr:uid="{00000000-0005-0000-0000-0000B5000000}"/>
    <cellStyle name="常规 7 11" xfId="132" xr:uid="{00000000-0005-0000-0000-0000B6000000}"/>
    <cellStyle name="常规 8" xfId="133" xr:uid="{00000000-0005-0000-0000-0000B7000000}"/>
    <cellStyle name="常规 9 2" xfId="134" xr:uid="{00000000-0005-0000-0000-0000B8000000}"/>
    <cellStyle name="超级链接_厂区面积规划" xfId="82" xr:uid="{00000000-0005-0000-0000-000082000000}"/>
    <cellStyle name="超链接" xfId="1" builtinId="8"/>
    <cellStyle name="超链接 2" xfId="135" xr:uid="{00000000-0005-0000-0000-0000BA000000}"/>
    <cellStyle name="輔色1" xfId="136" xr:uid="{00000000-0005-0000-0000-0000BB000000}"/>
    <cellStyle name="輔色2" xfId="137" xr:uid="{00000000-0005-0000-0000-0000BC000000}"/>
    <cellStyle name="輔色3" xfId="138" xr:uid="{00000000-0005-0000-0000-0000BD000000}"/>
    <cellStyle name="輔色6" xfId="139" xr:uid="{00000000-0005-0000-0000-0000BE000000}"/>
    <cellStyle name="好 2" xfId="76" xr:uid="{00000000-0005-0000-0000-00007B000000}"/>
    <cellStyle name="好 2 10" xfId="63" xr:uid="{00000000-0005-0000-0000-00006E000000}"/>
    <cellStyle name="好_8.V3 #4品质玉成会后围TEAM提报" xfId="140" xr:uid="{00000000-0005-0000-0000-0000BF000000}"/>
    <cellStyle name="合計" xfId="29" xr:uid="{00000000-0005-0000-0000-00004C000000}"/>
    <cellStyle name="壞" xfId="141" xr:uid="{00000000-0005-0000-0000-0000C0000000}"/>
    <cellStyle name="汇总 2" xfId="142" xr:uid="{00000000-0005-0000-0000-0000C1000000}"/>
    <cellStyle name="汇总 2 10" xfId="143" xr:uid="{00000000-0005-0000-0000-0000C2000000}"/>
    <cellStyle name="貨幣 [0]_PERSONAL" xfId="93" xr:uid="{00000000-0005-0000-0000-00008F000000}"/>
    <cellStyle name="貨幣[0]_LINE TRY計劃" xfId="144" xr:uid="{00000000-0005-0000-0000-0000C3000000}"/>
    <cellStyle name="貨幣_PERSONAL" xfId="74" xr:uid="{00000000-0005-0000-0000-000079000000}"/>
    <cellStyle name="计算 2" xfId="6" xr:uid="{00000000-0005-0000-0000-000035000000}"/>
    <cellStyle name="计算 2 10" xfId="12" xr:uid="{00000000-0005-0000-0000-00003B000000}"/>
    <cellStyle name="計算方式" xfId="145" xr:uid="{00000000-0005-0000-0000-0000C4000000}"/>
    <cellStyle name="检查单元格 2" xfId="146" xr:uid="{00000000-0005-0000-0000-0000C5000000}"/>
    <cellStyle name="检查单元格 2 10" xfId="147" xr:uid="{00000000-0005-0000-0000-0000C6000000}"/>
    <cellStyle name="检查单元格 4" xfId="148" xr:uid="{00000000-0005-0000-0000-0000C7000000}"/>
    <cellStyle name="檢查儲存格" xfId="149" xr:uid="{00000000-0005-0000-0000-0000C8000000}"/>
    <cellStyle name="解释性文本 2" xfId="45" xr:uid="{00000000-0005-0000-0000-00005C000000}"/>
    <cellStyle name="解释性文本 2 10" xfId="18" xr:uid="{00000000-0005-0000-0000-000041000000}"/>
    <cellStyle name="警告文本 2" xfId="150" xr:uid="{00000000-0005-0000-0000-0000C9000000}"/>
    <cellStyle name="警告文本 2 10" xfId="151" xr:uid="{00000000-0005-0000-0000-0000CA000000}"/>
    <cellStyle name="警告文字" xfId="21" xr:uid="{00000000-0005-0000-0000-000044000000}"/>
    <cellStyle name="連結的儲存格" xfId="152" xr:uid="{00000000-0005-0000-0000-0000CB000000}"/>
    <cellStyle name="链接单元格 2" xfId="153" xr:uid="{00000000-0005-0000-0000-0000CC000000}"/>
    <cellStyle name="链接单元格 2 10" xfId="122" xr:uid="{00000000-0005-0000-0000-0000AC000000}"/>
    <cellStyle name="砯刽 [0]_delong" xfId="42" xr:uid="{00000000-0005-0000-0000-000059000000}"/>
    <cellStyle name="砯刽_delong" xfId="154" xr:uid="{00000000-0005-0000-0000-0000CD000000}"/>
    <cellStyle name="普通_laroux" xfId="155" xr:uid="{00000000-0005-0000-0000-0000CE000000}"/>
    <cellStyle name="千分位[0]_laroux" xfId="156" xr:uid="{00000000-0005-0000-0000-0000CF000000}"/>
    <cellStyle name="千分位_laroux" xfId="3" xr:uid="{00000000-0005-0000-0000-000032000000}"/>
    <cellStyle name="千位[0]_980610" xfId="157" xr:uid="{00000000-0005-0000-0000-0000D0000000}"/>
    <cellStyle name="千位_980610" xfId="159" xr:uid="{00000000-0005-0000-0000-0000D2000000}"/>
    <cellStyle name="强调文字颜色 1 2" xfId="100" xr:uid="{00000000-0005-0000-0000-000096000000}"/>
    <cellStyle name="强调文字颜色 1 2 10" xfId="160" xr:uid="{00000000-0005-0000-0000-0000D3000000}"/>
    <cellStyle name="强调文字颜色 2 2" xfId="161" xr:uid="{00000000-0005-0000-0000-0000D4000000}"/>
    <cellStyle name="强调文字颜色 2 2 10" xfId="162" xr:uid="{00000000-0005-0000-0000-0000D5000000}"/>
    <cellStyle name="强调文字颜色 3 2" xfId="163" xr:uid="{00000000-0005-0000-0000-0000D6000000}"/>
    <cellStyle name="强调文字颜色 3 2 10" xfId="20" xr:uid="{00000000-0005-0000-0000-000043000000}"/>
    <cellStyle name="强调文字颜色 6 2" xfId="164" xr:uid="{00000000-0005-0000-0000-0000D7000000}"/>
    <cellStyle name="强调文字颜色 6 2 10" xfId="165" xr:uid="{00000000-0005-0000-0000-0000D8000000}"/>
    <cellStyle name="适中 2" xfId="31" xr:uid="{00000000-0005-0000-0000-00004E000000}"/>
    <cellStyle name="适中 2 10" xfId="166" xr:uid="{00000000-0005-0000-0000-0000D9000000}"/>
    <cellStyle name="输出 2" xfId="23" xr:uid="{00000000-0005-0000-0000-000046000000}"/>
    <cellStyle name="输出 2 10" xfId="167" xr:uid="{00000000-0005-0000-0000-0000DA000000}"/>
    <cellStyle name="输入 2" xfId="168" xr:uid="{00000000-0005-0000-0000-0000DB000000}"/>
    <cellStyle name="输入 2 10" xfId="158" xr:uid="{00000000-0005-0000-0000-0000D1000000}"/>
    <cellStyle name="輸出" xfId="169" xr:uid="{00000000-0005-0000-0000-0000DC000000}"/>
    <cellStyle name="輸入" xfId="19" xr:uid="{00000000-0005-0000-0000-000042000000}"/>
    <cellStyle name="說明文字" xfId="30" xr:uid="{00000000-0005-0000-0000-00004D000000}"/>
    <cellStyle name="一般_#2批NPZ PJ-TRY機加部品20060922" xfId="114" xr:uid="{00000000-0005-0000-0000-0000A4000000}"/>
    <cellStyle name="中等" xfId="170" xr:uid="{00000000-0005-0000-0000-0000DD000000}"/>
    <cellStyle name="注释 2" xfId="130" xr:uid="{00000000-0005-0000-0000-0000B4000000}"/>
    <cellStyle name="注释 2 10" xfId="171" xr:uid="{00000000-0005-0000-0000-0000DE000000}"/>
  </cellStyles>
  <dxfs count="6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DFE3E8"/>
      <color rgb="FFDB55D3"/>
      <color rgb="FFF53CF2"/>
      <color rgb="FF1C80C0"/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9" Type="http://schemas.openxmlformats.org/officeDocument/2006/relationships/externalLink" Target="externalLinks/externalLink34.xml"/><Relationship Id="rId21" Type="http://schemas.openxmlformats.org/officeDocument/2006/relationships/externalLink" Target="externalLinks/externalLink16.xml"/><Relationship Id="rId34" Type="http://schemas.openxmlformats.org/officeDocument/2006/relationships/externalLink" Target="externalLinks/externalLink29.xml"/><Relationship Id="rId42" Type="http://schemas.openxmlformats.org/officeDocument/2006/relationships/externalLink" Target="externalLinks/externalLink37.xml"/><Relationship Id="rId47" Type="http://schemas.openxmlformats.org/officeDocument/2006/relationships/sharedStrings" Target="sharedStrings.xml"/><Relationship Id="rId50" Type="http://schemas.openxmlformats.org/officeDocument/2006/relationships/customXml" Target="../customXml/item2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4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40" Type="http://schemas.openxmlformats.org/officeDocument/2006/relationships/externalLink" Target="externalLinks/externalLink35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customXml" Target="../customXml/item1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calcChain" Target="calcChain.xml"/><Relationship Id="rId8" Type="http://schemas.openxmlformats.org/officeDocument/2006/relationships/externalLink" Target="externalLinks/externalLink3.xml"/><Relationship Id="rId51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styles" Target="styles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0</xdr:row>
      <xdr:rowOff>6350</xdr:rowOff>
    </xdr:from>
    <xdr:to>
      <xdr:col>1</xdr:col>
      <xdr:colOff>467360</xdr:colOff>
      <xdr:row>0</xdr:row>
      <xdr:rowOff>433070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" y="6350"/>
          <a:ext cx="1295400" cy="425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19</xdr:col>
      <xdr:colOff>652780</xdr:colOff>
      <xdr:row>0</xdr:row>
      <xdr:rowOff>6350</xdr:rowOff>
    </xdr:from>
    <xdr:to>
      <xdr:col>35</xdr:col>
      <xdr:colOff>494030</xdr:colOff>
      <xdr:row>148</xdr:row>
      <xdr:rowOff>104140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54755" y="6350"/>
          <a:ext cx="10306050" cy="18506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100330</xdr:colOff>
      <xdr:row>77</xdr:row>
      <xdr:rowOff>406400</xdr:rowOff>
    </xdr:from>
    <xdr:to>
      <xdr:col>6</xdr:col>
      <xdr:colOff>0</xdr:colOff>
      <xdr:row>77</xdr:row>
      <xdr:rowOff>2031365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82770" y="3581400"/>
          <a:ext cx="3100070" cy="1624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43180</xdr:colOff>
      <xdr:row>85</xdr:row>
      <xdr:rowOff>828675</xdr:rowOff>
    </xdr:from>
    <xdr:to>
      <xdr:col>6</xdr:col>
      <xdr:colOff>2348865</xdr:colOff>
      <xdr:row>92</xdr:row>
      <xdr:rowOff>163195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26020" y="5410200"/>
          <a:ext cx="2305685" cy="6584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0</xdr:row>
      <xdr:rowOff>211455</xdr:rowOff>
    </xdr:from>
    <xdr:to>
      <xdr:col>3</xdr:col>
      <xdr:colOff>605735</xdr:colOff>
      <xdr:row>3</xdr:row>
      <xdr:rowOff>151130</xdr:rowOff>
    </xdr:to>
    <xdr:pic>
      <xdr:nvPicPr>
        <xdr:cNvPr id="3" name="图片 2" descr="捕获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550" y="211455"/>
          <a:ext cx="1633855" cy="561975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664845</xdr:colOff>
          <xdr:row>41</xdr:row>
          <xdr:rowOff>52705</xdr:rowOff>
        </xdr:from>
        <xdr:to>
          <xdr:col>12</xdr:col>
          <xdr:colOff>0</xdr:colOff>
          <xdr:row>44</xdr:row>
          <xdr:rowOff>5080</xdr:rowOff>
        </xdr:to>
        <xdr:pic>
          <xdr:nvPicPr>
            <xdr:cNvPr id="2" name="图片 1">
              <a:extLst>
                <a:ext uri="{FF2B5EF4-FFF2-40B4-BE49-F238E27FC236}">
                  <a16:creationId xmlns:a16="http://schemas.microsoft.com/office/drawing/2014/main" id="{00000000-0008-0000-1200-000002000000}"/>
                </a:ext>
              </a:extLst>
            </xdr:cNvPr>
            <xdr:cNvPicPr>
              <a:extLst>
                <a:ext uri="{84589F7E-364E-4C9E-8A38-B11213B215E9}">
                  <a14:cameraTool cellRange="'[37]#REF'!$A$1:$C$2" spid="_x0000_s6178"/>
                </a:ext>
              </a:extLst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28395" y="8002905"/>
              <a:ext cx="7983855" cy="536575"/>
            </a:xfrm>
            <a:prstGeom prst="rect">
              <a:avLst/>
            </a:prstGeom>
            <a:solidFill>
              <a:srgbClr val="FFFFFF"/>
            </a:solidFill>
            <a:ln w="9525">
              <a:noFill/>
            </a:ln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Documents%20and%20Settings\wlxue\Local%20Settings\Temporary%20Internet%20Files\Content.Outlook\KTUUTW5O\RecoveredExternalLink2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tCER/Project/&#21151;&#33021;&#23433;&#20840;&#27169;&#26495;_20180731/&#27169;&#26495;-&#33521;&#25991;/Software/&#36719;&#20214;&#26550;&#26500;&#35780;&#23457;&#26816;&#26597;&#28165;&#21333;.xlsx" TargetMode="External"/><Relationship Id="rId1" Type="http://schemas.openxmlformats.org/officeDocument/2006/relationships/externalLinkPath" Target="/UtCER/Project/&#21151;&#33021;&#23433;&#20840;&#27169;&#26495;_20180731/&#27169;&#26495;-&#33521;&#25991;/Software/&#36719;&#20214;&#26550;&#26500;&#35780;&#23457;&#26816;&#26597;&#28165;&#21333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A%20Quality%20Syetem/NADL&#36136;&#37327;&#20307;&#31995;&#25991;&#20214;/OSSP-V/6.&#27169;&#26495;/IPPR-IV.xls" TargetMode="External"/><Relationship Id="rId1" Type="http://schemas.openxmlformats.org/officeDocument/2006/relationships/externalLinkPath" Target="/CA%20Quality%20Syetem/NADL&#36136;&#37327;&#20307;&#31995;&#25991;&#20214;/OSSP-V/6.&#27169;&#26495;/IPPR-I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&#38477;&#26412;\&#26032;&#20135;&#21697;\T21012-8&#23544;2.2A&#25171;&#33609;&#26426;\Documents%20and%20Settings\pd93408\Local%20Settings\Temporary%20Internet%20Files\OLK5\Sept%20Dat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Documents%20and%20Settings\yangxinjun.GLOBE\Local%20Settings\Temporary%20Internet%20Files\Content.Outlook\S26J8PVK\RecoveredExternalLink4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ell/Desktop/&#31649;&#29702;&#25991;&#20214;&#21450;&#27169;&#26495;/EVPT-CX-09APQP&#25511;&#21046;&#31243;&#24207;B.3/APQP&#27169;&#26495;&#25991;&#20214;/RecoveredExternalLink3" TargetMode="External"/><Relationship Id="rId1" Type="http://schemas.openxmlformats.org/officeDocument/2006/relationships/externalLinkPath" Target="/Users/Dell/Desktop/&#31649;&#29702;&#25991;&#20214;&#21450;&#27169;&#26495;/EVPT-CX-09APQP&#25511;&#21046;&#31243;&#24207;B.3/APQP&#27169;&#26495;&#25991;&#20214;/RecoveredExternalLink3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ell/Desktop/&#31649;&#29702;&#25991;&#20214;&#21450;&#27169;&#26495;/EVPT-CX-09APQP&#25511;&#21046;&#31243;&#24207;B.3/APQP&#27169;&#26495;&#25991;&#20214;/RecoveredExternalLink5" TargetMode="External"/><Relationship Id="rId1" Type="http://schemas.openxmlformats.org/officeDocument/2006/relationships/externalLinkPath" Target="/Users/Dell/Desktop/&#31649;&#29702;&#25991;&#20214;&#21450;&#27169;&#26495;/EVPT-CX-09APQP&#25511;&#21046;&#31243;&#24207;B.3/APQP&#27169;&#26495;&#25991;&#20214;/RecoveredExternalLink5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ell/Desktop/&#31649;&#29702;&#25991;&#20214;&#21450;&#27169;&#26495;/EVPT-CX-09APQP&#25511;&#21046;&#31243;&#24207;B.3/APQP&#27169;&#26495;&#25991;&#20214;/RecoveredExternalLink6" TargetMode="External"/><Relationship Id="rId1" Type="http://schemas.openxmlformats.org/officeDocument/2006/relationships/externalLinkPath" Target="/Users/Dell/Desktop/&#31649;&#29702;&#25991;&#20214;&#21450;&#27169;&#26495;/EVPT-CX-09APQP&#25511;&#21046;&#31243;&#24207;B.3/APQP&#27169;&#26495;&#25991;&#20214;/RecoveredExternalLink6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ell/Desktop/&#31649;&#29702;&#25991;&#20214;&#21450;&#27169;&#26495;/EVPT-CX-09APQP&#25511;&#21046;&#31243;&#24207;B.3/APQP&#27169;&#26495;&#25991;&#20214;/RecoveredExternalLink8" TargetMode="External"/><Relationship Id="rId1" Type="http://schemas.openxmlformats.org/officeDocument/2006/relationships/externalLinkPath" Target="/Users/Dell/Desktop/&#31649;&#29702;&#25991;&#20214;&#21450;&#27169;&#26495;/EVPT-CX-09APQP&#25511;&#21046;&#31243;&#24207;B.3/APQP&#27169;&#26495;&#25991;&#20214;/RecoveredExternalLink8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chenphoebe\Documents\ASPICE&#27169;&#26495;\&#31649;&#29702;&#19982;&#25903;&#25345;&#36807;&#31243;\SUP.8\E:\1_ASPICE&#24037;&#20316;\5_&#24037;&#20316;&#20135;&#21697;\9.27-28&#23457;&#26597;\1_HoloPolit\SUP.1_&#36136;&#37327;&#20445;&#35777;\QA&#25253;&#21578;_V0.0.1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ell/Desktop/7534_TCU1000&#24320;&#21457;_&#39033;&#30446;&#21608;&#25253;&#21450;OIL&#34920;_20240412.xlsx" TargetMode="External"/><Relationship Id="rId1" Type="http://schemas.openxmlformats.org/officeDocument/2006/relationships/externalLinkPath" Target="/Users/Dell/Desktop/7534_TCU1000&#24320;&#21457;_&#39033;&#30446;&#21608;&#25253;&#21450;OIL&#34920;_20240412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_ASPICE&#24037;&#20316;/5_&#24037;&#20316;&#20135;&#21697;/9.27-28&#23457;&#26597;/1_HoloPolit/SUP.1_&#36136;&#37327;&#20445;&#35777;/QA&#25253;&#21578;_V0.0.1.xlsx" TargetMode="External"/><Relationship Id="rId1" Type="http://schemas.openxmlformats.org/officeDocument/2006/relationships/externalLinkPath" Target="/1_ASPICE&#24037;&#20316;/5_&#24037;&#20316;&#20135;&#21697;/9.27-28&#23457;&#26597;/1_HoloPolit/SUP.1_&#36136;&#37327;&#20445;&#35777;/QA&#25253;&#21578;_V0.0.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chenphoebe\Documents\ASPICE&#27169;&#26495;\&#31649;&#29702;&#19982;&#25903;&#25345;&#36807;&#31243;\SUP.8\D:\ProjectSVN\Picasso\01_Development\01_Project%20Management\01_&#39033;&#30446;&#35745;&#21010;&#21644;&#23376;&#35745;&#21010;\Picasso_&#39033;&#30446;&#20272;&#31639;&#34920;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rojectSVN/Picasso/01_Development/01_Project%20Management/01_&#39033;&#30446;&#35745;&#21010;&#21644;&#23376;&#35745;&#21010;/Picasso_&#39033;&#30446;&#20272;&#31639;&#34920;.xlsx" TargetMode="External"/><Relationship Id="rId1" Type="http://schemas.openxmlformats.org/officeDocument/2006/relationships/externalLinkPath" Target="/ProjectSVN/Picasso/01_Development/01_Project%20Management/01_&#39033;&#30446;&#35745;&#21010;&#21644;&#23376;&#35745;&#21010;/Picasso_&#39033;&#30446;&#20272;&#31639;&#34920;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A%20Quality%20Syetem/NADL&#36136;&#37327;&#20307;&#31995;&#25991;&#20214;/OSSP-V/6.&#27169;&#26495;/&#39033;&#30446;&#24635;&#32467;&#25253;&#21578;-IV.xls" TargetMode="External"/><Relationship Id="rId1" Type="http://schemas.openxmlformats.org/officeDocument/2006/relationships/externalLinkPath" Target="/CA%20Quality%20Syetem/NADL&#36136;&#37327;&#20307;&#31995;&#25991;&#20214;/OSSP-V/6.&#27169;&#26495;/&#39033;&#30446;&#24635;&#32467;&#25253;&#21578;-IV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hdaneva/Desktop/1TODO/SPICE/MFA2_Compliance%20Matrix_VIP.xlsx" TargetMode="External"/><Relationship Id="rId1" Type="http://schemas.openxmlformats.org/officeDocument/2006/relationships/externalLinkPath" Target="/Users/hdaneva/Desktop/1TODO/SPICE/MFA2_Compliance%20Matrix_VIP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cserver\vss\temp\sst3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Quality%20Management/01.OSSP/PIC&#21457;&#24067;&#25991;&#20214;/D00(PIC)(2005-7-28)-B/6.&#27169;&#26495;/&#36719;&#20214;&#24320;&#21457;&#35745;&#21010;-B.xls" TargetMode="External"/><Relationship Id="rId1" Type="http://schemas.openxmlformats.org/officeDocument/2006/relationships/externalLinkPath" Target="/Quality%20Management/01.OSSP/PIC&#21457;&#24067;&#25991;&#20214;/D00(PIC)(2005-7-28)-B/6.&#27169;&#26495;/&#36719;&#20214;&#24320;&#21457;&#35745;&#21010;-B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50\epg\&#26041;&#27491;&#25968;&#30721;CMM2&#39033;&#30446;&#22791;&#20221;\CMM2&#25991;&#26723;\Managed\SPTO%20Process\TEMPLATE\&#20010;&#20154;&#21608;&#25253;&#27169;&#26495;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chenphoebe/Documents/ASPICE&#27169;&#26495;/&#31649;&#29702;&#19982;&#25903;&#25345;&#36807;&#31243;/SUP.8/ssaed400/1_ASPICE--SUP.1&#36164;&#20135;/AS21_Beijing6_implementation/AS21_Beijing6_94_QA-1/AS21_Beijing6_94_QA/3_Report/1_Tracking%20List/Non%20Compliance%20Tracking%20List%20.xls" TargetMode="External"/><Relationship Id="rId1" Type="http://schemas.openxmlformats.org/officeDocument/2006/relationships/externalLinkPath" Target="/Users/chenphoebe/Documents/ASPICE&#27169;&#26495;/&#31649;&#29702;&#19982;&#25903;&#25345;&#36807;&#31243;/SUP.8/ssaed400/1_ASPICE--SUP.1&#36164;&#20135;/AS21_Beijing6_implementation/AS21_Beijing6_94_QA-1/AS21_Beijing6_94_QA/3_Report/1_Tracking%20List/Non%20Compliance%20Tracking%20List%20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EVPT/&#27169;&#26495;&#24211;/&#27169;&#26495;&#25991;&#20214;/&#31649;&#29702;&#19982;&#25903;&#25345;/SUP.8/EVPT-JL-SUP-08-003-Access%20Rights%20List%20-A02.xlsx" TargetMode="External"/><Relationship Id="rId1" Type="http://schemas.openxmlformats.org/officeDocument/2006/relationships/externalLinkPath" Target="/EVPT/&#27169;&#26495;&#24211;/&#27169;&#26495;&#25991;&#20214;/&#31649;&#29702;&#19982;&#25903;&#25345;/SUP.8/EVPT-JL-SUP-08-003-Access%20Rights%20List%20-A02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SPI/SPI%20Project/4%20-%20Tasks%20Realization/002_ENG.4/doc/Issue_log_Form.xls" TargetMode="External"/><Relationship Id="rId1" Type="http://schemas.openxmlformats.org/officeDocument/2006/relationships/externalLinkPath" Target="/SPI/SPI%20Project/4%20-%20Tasks%20Realization/002_ENG.4/doc/Issue_log_Form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aed400\A-SPICE&#23454;&#26045;\Q&amp;A%20Record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d.docs.live.net\ASPICE\ENG1-3\ENG1-3%20process_PTEC_V0.2\ENG.1\Template\Q&amp;A%20Record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chenphoebe/Documents/ASPICE&#27169;&#26495;/&#31649;&#29702;&#19982;&#25903;&#25345;&#36807;&#31243;/SUP.8/ssaed400/A-SPICE&#23454;&#26045;/Q&amp;A%20Record.xlsx" TargetMode="External"/><Relationship Id="rId1" Type="http://schemas.openxmlformats.org/officeDocument/2006/relationships/externalLinkPath" Target="/Users/chenphoebe/Documents/ASPICE&#27169;&#26495;/&#31649;&#29702;&#19982;&#25903;&#25345;&#36807;&#31243;/SUP.8/ssaed400/A-SPICE&#23454;&#26045;/Q&amp;A%20Record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ASPICE/ENG1-3/ENG1-3%20process_PTEC_V0.2/ENG.1/Template/Q&amp;A%20Record.xlsx" TargetMode="External"/><Relationship Id="rId1" Type="http://schemas.openxmlformats.org/officeDocument/2006/relationships/externalLinkPath" Target="/ASPICE/ENG1-3/ENG1-3%20process_PTEC_V0.2/ENG.1/Template/Q&amp;A%20Record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chenphoebe\Documents\ASPICE&#27169;&#26495;\&#31649;&#29702;&#19982;&#25903;&#25345;&#36807;&#31243;\SUP.8\http:\pai.gm.com\WINDOWS\TEMP\Workshare\Workshare%20Agreements\Mexico\J%20Car\vpps_v2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Enterprise%20Data/2017%20OED%20Project/3&#12289;SPIC/&#27969;&#31243;&#27161;&#28310;&#21270;/SOP/Template&#33609;&#31295;&#21443;&#32771;&#25991;&#20214;/TMP-PJM-07-&#23560;&#26696;&#20272;&#31639;&#34920;.xlsx" TargetMode="External"/><Relationship Id="rId1" Type="http://schemas.openxmlformats.org/officeDocument/2006/relationships/externalLinkPath" Target="/Enterprise%20Data/2017%20OED%20Project/3&#12289;SPIC/&#27969;&#31243;&#27161;&#28310;&#21270;/SOP/Template&#33609;&#31295;&#21443;&#32771;&#25991;&#20214;/TMP-PJM-07-&#23560;&#26696;&#20272;&#31639;&#34920;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d.docs.live.net\Users\admin\AppData\Local\Temp\360zip$Temp\360$4\TEST_&#24037;&#20316;&#20135;&#21697;&#27169;&#26495;_&#27979;&#35797;&#35745;&#21010;_V1.01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A%20Quality%20Syetem/NADL&#36136;&#37327;&#20307;&#31995;&#25991;&#20214;/OSSP-V/6.&#27169;&#26495;/&#37324;&#31243;&#30865;&#24635;&#32467;&#25253;&#21578;-IV.xls" TargetMode="External"/><Relationship Id="rId1" Type="http://schemas.openxmlformats.org/officeDocument/2006/relationships/externalLinkPath" Target="/CA%20Quality%20Syetem/NADL&#36136;&#37327;&#20307;&#31995;&#25991;&#20214;/OSSP-V/6.&#27169;&#26495;/&#37324;&#31243;&#30865;&#24635;&#32467;&#25253;&#21578;-IV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ell/Documents/&#30740;&#21457;&#24211;/VDA/&#32993;&#28009;/3&#32423;&#32534;&#20889;&#39033;&#30446;&#35745;&#21010;&#20070;&#27969;&#31243;&#21450;&#24037;&#20316;&#20135;&#21697;&#27169;&#26495;(1).xlsx" TargetMode="External"/><Relationship Id="rId1" Type="http://schemas.openxmlformats.org/officeDocument/2006/relationships/externalLinkPath" Target="/Users/Dell/Documents/&#30740;&#21457;&#24211;/VDA/&#32993;&#28009;/3&#32423;&#32534;&#20889;&#39033;&#30446;&#35745;&#21010;&#20070;&#27969;&#31243;&#21450;&#24037;&#20316;&#20135;&#21697;&#27169;&#26495;(1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cserver\vss\temp\sst4E.xls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TFS/WKS/10-&#24230;&#37327;&#23384;&#20786;-MA/&#24230;&#37327;&#20998;&#26512;&#32317;&#34920;.xls" TargetMode="External"/><Relationship Id="rId1" Type="http://schemas.openxmlformats.org/officeDocument/2006/relationships/externalLinkPath" Target="/TFS/WKS/10-&#24230;&#37327;&#23384;&#20786;-MA/&#24230;&#37327;&#20998;&#26512;&#32317;&#34920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d.docs.live.net\TFS\WKS\10-&#24230;&#37327;&#23384;&#20786;-MA\&#24230;&#37327;&#20998;&#26512;&#32317;&#34920;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ell/Desktop/25&#24180;OKR&#21442;&#32771;/RecoveredExternalLink3" TargetMode="External"/><Relationship Id="rId1" Type="http://schemas.openxmlformats.org/officeDocument/2006/relationships/externalLinkPath" Target="/Users/Dell/Desktop/25&#24180;OKR&#21442;&#32771;/RecoveredExternalLink3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chenphoebe\Documents\ASPICE&#27169;&#26495;\&#31649;&#29702;&#19982;&#25903;&#25345;&#36807;&#31243;\SUP.8\E:\Enterprise%20Data\2017%20OED%20Project\3&#12289;SPIC\&#27969;&#31243;&#27161;&#28310;&#21270;\SOP\Template&#33609;&#31295;&#21443;&#32771;&#25991;&#20214;\TMP-PJM-07-&#23560;&#26696;&#20272;&#31639;&#34920;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#REF!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9.226\VSSData$\CMM%20Workshop\OSSP\OSSP2003\6.Template&amp;Form\03&#31574;&#21010;\&#36719;&#20214;&#24320;&#21457;&#35745;&#21010;-A.xls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Administrator/Desktop/7516_VCU5000&#26032;&#20135;&#21697;&#24320;&#21457;/7516_VCU5000&#24320;&#21457;_&#39033;&#30446;&#21608;&#25253;&#21450;OIL&#34920;20240322.xlsx" TargetMode="External"/><Relationship Id="rId1" Type="http://schemas.openxmlformats.org/officeDocument/2006/relationships/externalLinkPath" Target="/Users/Administrator/Desktop/7516_VCU5000&#26032;&#20135;&#21697;&#24320;&#21457;/7516_VCU5000&#24320;&#21457;_&#39033;&#30446;&#21608;&#25253;&#21450;OIL&#34920;202403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P.S."/>
      <sheetName val="Sheet1"/>
      <sheetName val="baseline"/>
      <sheetName val="dt"/>
      <sheetName val="dt chart"/>
      <sheetName val="估算系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Change History"/>
      <sheetName val="References"/>
      <sheetName val="Defect Log"/>
      <sheetName val="Checklist"/>
      <sheetName val="Summary"/>
      <sheetName val="Template Version"/>
      <sheetName val="任务进度"/>
      <sheetName val="dt"/>
    </sheetNames>
    <definedNames>
      <definedName name="___GoA1" sheetId="1"/>
      <definedName name="___GoA2" sheetId="1"/>
      <definedName name="__GoA1" sheetId="1"/>
      <definedName name="__GoA2" sheetId="1"/>
      <definedName name="_GoA1" sheetId="1"/>
      <definedName name="_GoA2" sheetId="1"/>
      <definedName name="Capture.Capture" sheetId="1"/>
      <definedName name="Capture1.Capture1" sheetId="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发行控制"/>
      <sheetName val="填写及缩略语说明"/>
      <sheetName val="Cover"/>
      <sheetName val="Project Status"/>
      <sheetName val="Requirements Tracking"/>
      <sheetName val="Size Tracking"/>
      <sheetName val="Effort Tracking"/>
      <sheetName val="Schedule Tracking"/>
      <sheetName val="Quality Tracking"/>
      <sheetName val="Review Tracking"/>
      <sheetName val="Test Tracking"/>
      <sheetName val="Critical Resource Tracking"/>
      <sheetName val="Risk Tracking"/>
      <sheetName val="PDB-DEV"/>
      <sheetName val="分类数据"/>
      <sheetName val="Change History"/>
      <sheetName val="dt"/>
    </sheetNames>
    <definedNames>
      <definedName name="___GoA1" sheetId="15"/>
      <definedName name="___GoA2" sheetId="15"/>
      <definedName name="__GoA1" sheetId="15"/>
      <definedName name="__GoA2" sheetId="15"/>
      <definedName name="_GoA1" sheetId="15"/>
      <definedName name="_GoA2" sheetId="15"/>
      <definedName name="Capture.Capture" sheetId="15"/>
      <definedName name="Capture1.Capture1" sheetId="15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P.S."/>
      <sheetName val="Sheet1"/>
      <sheetName val="baseline"/>
      <sheetName val="dt"/>
      <sheetName val="dt chart"/>
      <sheetName val="任务进度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P.S."/>
      <sheetName val="Sheet1"/>
      <sheetName val="baseline"/>
      <sheetName val="dt"/>
      <sheetName val="dt chart"/>
      <sheetName val="BASIS "/>
      <sheetName val="MATERIALS"/>
      <sheetName val="PARTS"/>
      <sheetName val="PACKAGINGS&amp;LABELS "/>
      <sheetName val="STANDARD PART DOCUMENTS"/>
      <sheetName val="Change Histo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.P.S."/>
      <sheetName val="Sheet1"/>
      <sheetName val="baseline"/>
      <sheetName val="dt"/>
      <sheetName val="dt 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.P.S."/>
      <sheetName val="Sheet1"/>
      <sheetName val="baseline"/>
      <sheetName val="dt"/>
      <sheetName val="dt 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.P.S."/>
      <sheetName val="Sheet1"/>
      <sheetName val="baseline"/>
      <sheetName val="dt"/>
      <sheetName val="dt 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.P.S."/>
      <sheetName val="Sheet1"/>
      <sheetName val="baseline"/>
      <sheetName val="dt"/>
      <sheetName val="dt 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"/>
      <sheetName val="修订记录"/>
      <sheetName val="概要"/>
      <sheetName val="过程审计"/>
      <sheetName val="工作产品评审"/>
      <sheetName val="质量目标"/>
      <sheetName val="评审分析"/>
      <sheetName val="其他"/>
      <sheetName val="d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ctt"/>
      <sheetName val="Database"/>
      <sheetName val="7534_TCU1000开发_项目周报及OIL表_202404"/>
      <sheetName val="分类数据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封面"/>
      <sheetName val="修订记录"/>
      <sheetName val="概要"/>
      <sheetName val="过程审计"/>
      <sheetName val="工作产品评审"/>
      <sheetName val="质量目标"/>
      <sheetName val="评审分析"/>
      <sheetName val="其他"/>
      <sheetName val="Change History"/>
      <sheetName val="dt"/>
      <sheetName val="信息定义"/>
      <sheetName val="分類表BKP"/>
      <sheetName val="Sctt"/>
      <sheetName val="Data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皮"/>
      <sheetName val="修订记录"/>
      <sheetName val="估算方法"/>
      <sheetName val="估算系数"/>
      <sheetName val="估算结果"/>
      <sheetName val="专家法估算"/>
      <sheetName val="测试工作量估算"/>
      <sheetName val="组织度量参考值"/>
      <sheetName val="11.20 FPGA编码与单元测试重新估算"/>
      <sheetName val="11.20 DSP编码与单元测试重新估算"/>
      <sheetName val="Video估算"/>
      <sheetName val="process chart"/>
      <sheetName val="质量目标"/>
      <sheetName val="dt"/>
      <sheetName val="信息定义"/>
      <sheetName val="分類表BK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封皮"/>
      <sheetName val="修订记录"/>
      <sheetName val="估算方法"/>
      <sheetName val="估算系数"/>
      <sheetName val="估算结果"/>
      <sheetName val="专家法估算"/>
      <sheetName val="测试工作量估算"/>
      <sheetName val="组织度量参考值"/>
      <sheetName val="11.20 FPGA编码与单元测试重新估算"/>
      <sheetName val="11.20 DSP编码与单元测试重新估算"/>
      <sheetName val="Video估算"/>
      <sheetName val="process chart"/>
      <sheetName val="同行评审"/>
      <sheetName val="任务进度"/>
      <sheetName val="Matrix矩阵"/>
      <sheetName val="信息定义"/>
      <sheetName val="List"/>
      <sheetName val="引言"/>
      <sheetName val="质量目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发行控制"/>
      <sheetName val="封面"/>
      <sheetName val="目录"/>
      <sheetName val="基本信息"/>
      <sheetName val="项目目标"/>
      <sheetName val="质量"/>
      <sheetName val="同行评审"/>
      <sheetName val="测试过程"/>
      <sheetName val="工作量"/>
      <sheetName val="进度"/>
      <sheetName val="需求管理"/>
      <sheetName val="风险管理"/>
      <sheetName val="优秀实践"/>
      <sheetName val="优秀产品"/>
      <sheetName val="附录1"/>
      <sheetName val="Comp Matrix - Adblue"/>
      <sheetName val="估算系数"/>
      <sheetName val="Matrix矩阵"/>
      <sheetName val="质量目标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view Checklist"/>
      <sheetName val="Comp Matrix - Adblue"/>
      <sheetName val="Comp Matrix - HIL"/>
      <sheetName val="Comp Matrix - ECO Assist"/>
      <sheetName val="Comp Matrix - HUD Settings"/>
      <sheetName val="Comp Matrix - Assyst Plus"/>
      <sheetName val="Comp Matrix - White Point"/>
      <sheetName val="Comp Matrix - Acoustics Out"/>
      <sheetName val="Comp Matrix - Speedometer"/>
      <sheetName val="Comp Matrix - Assyst"/>
      <sheetName val="Comp Matrix - Speed Limiter"/>
      <sheetName val="Comp Matrix - FOTA"/>
      <sheetName val="Comp Matrix - Sleep WakeUp"/>
      <sheetName val="Comp Matrix - Speed Warning"/>
      <sheetName val="Comp Matrix - Acoustics Output"/>
      <sheetName val="Matrix矩阵"/>
      <sheetName val="质量目标"/>
      <sheetName val="引言"/>
      <sheetName val="信息定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引言"/>
      <sheetName val="生产率"/>
      <sheetName val="质量"/>
      <sheetName val="工作量"/>
      <sheetName val="进度"/>
      <sheetName val="Comp Matrix - Adblue"/>
      <sheetName val="同行评审"/>
      <sheetName val="List"/>
      <sheetName val="Matrix矩阵"/>
      <sheetName val="信息定义"/>
      <sheetName val="Sctt"/>
      <sheetName val="Data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文件封面"/>
      <sheetName val="文件修改控制"/>
      <sheetName val="封面"/>
      <sheetName val="目录"/>
      <sheetName val="变更履历"/>
      <sheetName val="信息定义"/>
      <sheetName val="概述"/>
      <sheetName val="目标及策略"/>
      <sheetName val="里程碑管理"/>
      <sheetName val="规模管理"/>
      <sheetName val="质量管理"/>
      <sheetName val="质量管理-详细"/>
      <sheetName val="成本管理"/>
      <sheetName val="工作量管理"/>
      <sheetName val="进度管理"/>
      <sheetName val="进度管理-详细"/>
      <sheetName val="关键计算机资源"/>
      <sheetName val="人员管理"/>
      <sheetName val="环境管理"/>
      <sheetName val="风险管理"/>
      <sheetName val="组间协调管理"/>
      <sheetName val="培训管理"/>
      <sheetName val="项目数据库(PDB)"/>
      <sheetName val="引言"/>
      <sheetName val="List"/>
      <sheetName val="同行评审"/>
      <sheetName val="Comp Matrix - Adblue"/>
      <sheetName val="Matrix矩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版本信息"/>
      <sheetName val="填写说明"/>
      <sheetName val="工作日志"/>
      <sheetName val="分类统计"/>
      <sheetName val="估算系数"/>
      <sheetName val="引言"/>
      <sheetName val="同行评审"/>
      <sheetName val="Level 1-3 Change Overview"/>
      <sheetName val="信息定义"/>
      <sheetName val="分类数据"/>
      <sheetName val="Comp Matrix - Adblue"/>
      <sheetName val="Matrix矩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Work product"/>
      <sheetName val="Process"/>
      <sheetName val="List"/>
      <sheetName val="估算系数"/>
      <sheetName val="信息定义"/>
      <sheetName val="dt"/>
      <sheetName val="Comp Matrix - Adblue"/>
      <sheetName val="同行评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Change History"/>
      <sheetName val="SVN "/>
      <sheetName val="Git"/>
      <sheetName val="Template Change History"/>
      <sheetName val="任务进度"/>
      <sheetName val="估算系数"/>
      <sheetName val="同行评审"/>
      <sheetName val="引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orm Identification"/>
      <sheetName val="Instructions"/>
      <sheetName val="估算系数"/>
      <sheetName val="任务进度"/>
      <sheetName val="分类统计"/>
      <sheetName val="信息定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hange History"/>
      <sheetName val="Q&amp;A Record"/>
      <sheetName val="List"/>
      <sheetName val="估算系数"/>
      <sheetName val="分类统计"/>
      <sheetName val="Form Identification"/>
      <sheetName val="分類表BKP"/>
      <sheetName val="信息定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hange History"/>
      <sheetName val="List"/>
      <sheetName val="Q&amp;A Record"/>
      <sheetName val="7.估算係數"/>
      <sheetName val="Form Identification"/>
      <sheetName val="分类统计"/>
      <sheetName val="估算系数"/>
      <sheetName val="同行评审"/>
      <sheetName val="Comp Matrix - Adblue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Change History"/>
      <sheetName val="Q&amp;A Record"/>
      <sheetName val="List"/>
      <sheetName val="Form Identification"/>
      <sheetName val="dt"/>
      <sheetName val="估算系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Change History"/>
      <sheetName val="List"/>
      <sheetName val="Q&amp;A Record"/>
      <sheetName val="分类统计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vel 1"/>
      <sheetName val="Level 1-2"/>
      <sheetName val="Levels 1-7"/>
      <sheetName val="Level 1-2 Change Overview"/>
      <sheetName val="Level 1-3 Change Overview"/>
      <sheetName val="Change Diagram from Ver 1"/>
      <sheetName val="Code Representation"/>
      <sheetName val="List"/>
      <sheetName val="Form Identific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模板修改記錄"/>
      <sheetName val="封面 (NEW)"/>
      <sheetName val="修訂記錄"/>
      <sheetName val="目錄"/>
      <sheetName val="1.概述"/>
      <sheetName val="2. 術語表"/>
      <sheetName val="3.估算方法"/>
      <sheetName val="4.開發工作估算和跟蹤"/>
      <sheetName val="专家法估算"/>
      <sheetName val="5.其他工作估算和跟蹤"/>
      <sheetName val="6.整體估算結果和跟蹤"/>
      <sheetName val="7.估算係數"/>
      <sheetName val="歷史資料"/>
      <sheetName val="测试工作量估算"/>
      <sheetName val="分類表BKP"/>
      <sheetName val="任务进度"/>
      <sheetName val="分类数据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工作指南"/>
      <sheetName val="背景"/>
      <sheetName val="任务概述"/>
      <sheetName val="过程条件"/>
      <sheetName val="测试策略"/>
      <sheetName val="测试资源"/>
      <sheetName val="任务进度"/>
      <sheetName val="技术评审Checklist"/>
      <sheetName val="产品QA检查"/>
      <sheetName val="过程QA检查"/>
      <sheetName val="修订历史&amp;术语"/>
      <sheetName val="1.概述"/>
      <sheetName val="Level 1-3 Change Overview"/>
      <sheetName val="List"/>
      <sheetName val="Form Identification"/>
      <sheetName val="引言"/>
      <sheetName val="SWE.6软件合格性测试计划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发行控制"/>
      <sheetName val="封面"/>
      <sheetName val="1.概述"/>
      <sheetName val="2.质量"/>
      <sheetName val="3.成本"/>
      <sheetName val="4.工期"/>
      <sheetName val="3.工作量"/>
      <sheetName val="4.进度"/>
      <sheetName val="List"/>
      <sheetName val="Level 1-3 Change 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首页"/>
      <sheetName val="目录"/>
      <sheetName val="工作指南"/>
      <sheetName val="目标.范围"/>
      <sheetName val="生命周期"/>
      <sheetName val="组织架构"/>
      <sheetName val="WBS结构"/>
      <sheetName val="资源估算"/>
      <sheetName val="任务进度"/>
      <sheetName val="行为准则"/>
      <sheetName val="项目例会"/>
      <sheetName val="项目风险"/>
      <sheetName val="（个人.联合）评审"/>
      <sheetName val="产品QA检查"/>
      <sheetName val="工作流程"/>
      <sheetName val="过程QA检查"/>
      <sheetName val="修改历史.术语"/>
      <sheetName val="封面"/>
      <sheetName val="文件修改履历"/>
      <sheetName val="评审记录表"/>
      <sheetName val="评审发现清单"/>
      <sheetName val="SWE.6"/>
      <sheetName val="1.概述"/>
      <sheetName val="Level 1-3 Change Overview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发行控制"/>
      <sheetName val="填写及缩略语说明"/>
      <sheetName val="Cover"/>
      <sheetName val="Project Status"/>
      <sheetName val="Requirements Tracking"/>
      <sheetName val="Size Tracking"/>
      <sheetName val="Effort Tracking"/>
      <sheetName val="Schedule Tracking"/>
      <sheetName val="Quality Tracking"/>
      <sheetName val="Review Tracking"/>
      <sheetName val="Test Tracking"/>
      <sheetName val="Critical Resource Tracking"/>
      <sheetName val="Risk Tracking"/>
      <sheetName val="TP Tracking"/>
      <sheetName val="IC Tracking"/>
      <sheetName val="PDB-DEV"/>
      <sheetName val="分类数据"/>
      <sheetName val="PDB-MAINT"/>
      <sheetName val="1.概述"/>
      <sheetName val="估算系数"/>
      <sheetName val="信息定义"/>
      <sheetName val="任务进度"/>
      <sheetName val="同行评审"/>
      <sheetName val="分类统计"/>
      <sheetName val="List"/>
      <sheetName val="Level 1-3 Change 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度量需求來源"/>
      <sheetName val="度量目標"/>
      <sheetName val="Policy度量項目"/>
      <sheetName val="備選度量項目"/>
      <sheetName val="基礎度量定義表"/>
      <sheetName val="度量指標"/>
      <sheetName val="指南-統計學概念"/>
      <sheetName val="MA執行中的度量項目"/>
      <sheetName val="指南-各圖形的應用"/>
      <sheetName val="指南-圖形製作"/>
      <sheetName val="指南-統計分析技術及Minitab操作"/>
      <sheetName val="SWOT"/>
      <sheetName val="平衡記分卡"/>
      <sheetName val="魚骨圖"/>
      <sheetName val="分類表BKP"/>
      <sheetName val="任务进度"/>
      <sheetName val="估算系数"/>
      <sheetName val="分类数据"/>
      <sheetName val="Level 1-3 Change 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度量需求來源"/>
      <sheetName val="度量目標"/>
      <sheetName val="Policy度量項目"/>
      <sheetName val="備選度量項目"/>
      <sheetName val="基礎度量定義表"/>
      <sheetName val="度量指標"/>
      <sheetName val="指南-統計學概念"/>
      <sheetName val="MA執行中的度量項目"/>
      <sheetName val="指南-各圖形的應用"/>
      <sheetName val="指南-圖形製作"/>
      <sheetName val="指南-統計分析技術及Minitab操作"/>
      <sheetName val="SWOT"/>
      <sheetName val="平衡記分卡"/>
      <sheetName val="魚骨圖"/>
      <sheetName val="分類表BKP"/>
      <sheetName val="任务进度"/>
      <sheetName val="Level 1-3 Change Overview"/>
      <sheetName val="List"/>
      <sheetName val="分类数据"/>
      <sheetName val="估算系数"/>
      <sheetName val="7.估算係數"/>
      <sheetName val="1.概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.P.S."/>
      <sheetName val="Sheet1"/>
      <sheetName val="baseline"/>
      <sheetName val="dt"/>
      <sheetName val="dt chart"/>
      <sheetName val="7.估算係數"/>
      <sheetName val="分類表BKP"/>
      <sheetName val="任务进度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模板修改記錄"/>
      <sheetName val="封面 (NEW)"/>
      <sheetName val="修訂記錄"/>
      <sheetName val="目錄"/>
      <sheetName val="1.概述"/>
      <sheetName val="2. 術語表"/>
      <sheetName val="3.估算方法"/>
      <sheetName val="4.開發工作估算和跟蹤"/>
      <sheetName val="专家法估算"/>
      <sheetName val="5.其他工作估算和跟蹤"/>
      <sheetName val="6.整體估算結果和跟蹤"/>
      <sheetName val="7.估算係數"/>
      <sheetName val="歷史資料"/>
      <sheetName val="测试工作量估算"/>
      <sheetName val="Level 1-3 Change Overview"/>
      <sheetName val="List"/>
      <sheetName val="任务进度"/>
      <sheetName val="分類表BK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分類表BKP"/>
      <sheetName val="7.估算係數"/>
      <sheetName val="任务进度"/>
      <sheetName val="分类数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文件封面"/>
      <sheetName val="文件修改控制"/>
      <sheetName val="封面"/>
      <sheetName val="目录"/>
      <sheetName val="变更履历"/>
      <sheetName val="信息定义"/>
      <sheetName val="概述"/>
      <sheetName val="里程碑管理"/>
      <sheetName val="规模及工作量"/>
      <sheetName val="关键计算机资源"/>
      <sheetName val="环境"/>
      <sheetName val="软件度量"/>
      <sheetName val="组间协调"/>
      <sheetName val="培训"/>
      <sheetName val="软件配置管理"/>
      <sheetName val="配置库权限"/>
      <sheetName val="分类数据"/>
      <sheetName val="Sctt"/>
      <sheetName val="Database"/>
      <sheetName val="dt"/>
      <sheetName val="任务进度"/>
      <sheetName val="Target"/>
      <sheetName val="PickList"/>
      <sheetName val="Meta Data"/>
      <sheetName val="Change History"/>
      <sheetName val="软件开发计划-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分类数据"/>
      <sheetName val="7516_VCU5000开发_项目周报及OIL表2024032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自定义 1">
      <a:majorFont>
        <a:latin typeface="Times New Roman"/>
        <a:ea typeface="宋体"/>
        <a:cs typeface=""/>
      </a:majorFont>
      <a:minorFont>
        <a:latin typeface="Times New Roman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baijinxin@evpt.com.cn" TargetMode="External"/><Relationship Id="rId13" Type="http://schemas.openxmlformats.org/officeDocument/2006/relationships/hyperlink" Target="mailto:liuhongfa@evpt.com.cn" TargetMode="External"/><Relationship Id="rId3" Type="http://schemas.openxmlformats.org/officeDocument/2006/relationships/hyperlink" Target="mailto:dusen@evpt.com.cn" TargetMode="External"/><Relationship Id="rId7" Type="http://schemas.openxmlformats.org/officeDocument/2006/relationships/hyperlink" Target="mailto:liuqingshan@evpt.com.cn" TargetMode="External"/><Relationship Id="rId12" Type="http://schemas.openxmlformats.org/officeDocument/2006/relationships/hyperlink" Target="mailto:songzengyuan@evpt.com.cn" TargetMode="External"/><Relationship Id="rId2" Type="http://schemas.openxmlformats.org/officeDocument/2006/relationships/hyperlink" Target="mailto:geshuping@evpt.com.cn" TargetMode="External"/><Relationship Id="rId16" Type="http://schemas.openxmlformats.org/officeDocument/2006/relationships/vmlDrawing" Target="../drawings/vmlDrawing2.vml"/><Relationship Id="rId1" Type="http://schemas.openxmlformats.org/officeDocument/2006/relationships/hyperlink" Target="mailto:zhounenghui@evpt.com.cn" TargetMode="External"/><Relationship Id="rId6" Type="http://schemas.openxmlformats.org/officeDocument/2006/relationships/hyperlink" Target="mailto:dusen@evpt.com.cn" TargetMode="External"/><Relationship Id="rId11" Type="http://schemas.openxmlformats.org/officeDocument/2006/relationships/hyperlink" Target="mailto:songziqing@evpt.top" TargetMode="External"/><Relationship Id="rId5" Type="http://schemas.openxmlformats.org/officeDocument/2006/relationships/hyperlink" Target="mailto:diaoyuejin@evpt.com.cn" TargetMode="External"/><Relationship Id="rId15" Type="http://schemas.openxmlformats.org/officeDocument/2006/relationships/drawing" Target="../drawings/drawing2.xml"/><Relationship Id="rId10" Type="http://schemas.openxmlformats.org/officeDocument/2006/relationships/hyperlink" Target="mailto:caoweizhen@evpt.com.cn" TargetMode="External"/><Relationship Id="rId4" Type="http://schemas.openxmlformats.org/officeDocument/2006/relationships/hyperlink" Target="mailto:gaoyunjie@evpt.com.cn" TargetMode="External"/><Relationship Id="rId9" Type="http://schemas.openxmlformats.org/officeDocument/2006/relationships/hyperlink" Target="mailto:hanliyuan@evpt.com.cn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C5" sqref="C5"/>
    </sheetView>
  </sheetViews>
  <sheetFormatPr defaultColWidth="9.77734375" defaultRowHeight="13.8"/>
  <cols>
    <col min="1" max="1" width="15.33203125" style="258" customWidth="1"/>
    <col min="2" max="2" width="9.77734375" style="258" customWidth="1"/>
    <col min="3" max="3" width="55.77734375" style="258" customWidth="1"/>
    <col min="4" max="4" width="11.77734375" style="258" customWidth="1"/>
    <col min="5" max="16384" width="9.77734375" style="258"/>
  </cols>
  <sheetData>
    <row r="1" spans="1:4" ht="19.95" customHeight="1">
      <c r="A1" s="296" t="s">
        <v>6</v>
      </c>
      <c r="B1" s="297"/>
      <c r="C1" s="297"/>
      <c r="D1" s="297"/>
    </row>
    <row r="2" spans="1:4" ht="21.45" customHeight="1">
      <c r="A2" s="297"/>
      <c r="B2" s="297"/>
      <c r="C2" s="297"/>
      <c r="D2" s="297"/>
    </row>
    <row r="3" spans="1:4" s="257" customFormat="1" ht="31.05" customHeight="1">
      <c r="A3" s="259" t="s">
        <v>7</v>
      </c>
      <c r="B3" s="260" t="s">
        <v>8</v>
      </c>
      <c r="C3" s="259" t="s">
        <v>9</v>
      </c>
      <c r="D3" s="261" t="s">
        <v>10</v>
      </c>
    </row>
    <row r="4" spans="1:4" ht="28.95" customHeight="1">
      <c r="A4" s="262" t="s">
        <v>11</v>
      </c>
      <c r="B4" s="263" t="s">
        <v>12</v>
      </c>
      <c r="C4" s="264" t="s">
        <v>13</v>
      </c>
      <c r="D4" s="265" t="s">
        <v>0</v>
      </c>
    </row>
    <row r="5" spans="1:4" ht="124.95" customHeight="1">
      <c r="A5" s="262"/>
      <c r="B5" s="263"/>
      <c r="C5" s="266"/>
      <c r="D5" s="265"/>
    </row>
    <row r="6" spans="1:4" ht="30" customHeight="1">
      <c r="A6" s="262"/>
      <c r="B6" s="267"/>
      <c r="C6" s="268"/>
      <c r="D6" s="265"/>
    </row>
    <row r="7" spans="1:4" ht="14.4">
      <c r="A7" s="262"/>
      <c r="B7" s="267"/>
      <c r="C7" s="268"/>
      <c r="D7" s="265"/>
    </row>
    <row r="9" spans="1:4">
      <c r="A9" s="269"/>
    </row>
  </sheetData>
  <mergeCells count="1">
    <mergeCell ref="A1:D2"/>
  </mergeCells>
  <phoneticPr fontId="116" type="noConversion"/>
  <printOptions horizontalCentered="1" verticalCentered="1"/>
  <pageMargins left="0.51180555555555596" right="0.51180555555555596" top="0.35416666666666702" bottom="1.25972222222222" header="0.31458333333333299" footer="0.31458333333333299"/>
  <pageSetup paperSize="9" orientation="portrait"/>
  <headerFooter>
    <oddFooter>&amp;L©Note: The copyright belongs to EVPT, and the content of this document is a trade secret. Without permission, any organization or individual shall not copy and disseminate in any form.
©备注：版权归属天津易鼎丰动力科技有限公司所有，本文档内容属商业机密。未经允许，任何组织或个人不得以任何形式复制和传播。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531"/>
  <sheetViews>
    <sheetView tabSelected="1" zoomScale="115" zoomScaleNormal="115" workbookViewId="0">
      <pane ySplit="2" topLeftCell="A3" activePane="bottomLeft" state="frozen"/>
      <selection activeCell="G11" sqref="G11"/>
      <selection pane="bottomLeft" activeCell="B14" sqref="B14"/>
    </sheetView>
  </sheetViews>
  <sheetFormatPr defaultColWidth="8.77734375" defaultRowHeight="14.4"/>
  <cols>
    <col min="1" max="1" width="16.44140625" customWidth="1"/>
    <col min="2" max="2" width="39.21875" style="102" customWidth="1"/>
    <col min="3" max="3" width="25.33203125" style="102" customWidth="1"/>
    <col min="4" max="4" width="8.77734375" customWidth="1"/>
    <col min="5" max="8" width="14" customWidth="1"/>
    <col min="9" max="9" width="11.77734375" customWidth="1"/>
    <col min="10" max="10" width="11.77734375" style="39" customWidth="1"/>
    <col min="11" max="11" width="17.21875" style="39" customWidth="1"/>
    <col min="12" max="12" width="34.44140625" style="123" customWidth="1"/>
  </cols>
  <sheetData>
    <row r="1" spans="1:12" ht="31.95" customHeight="1">
      <c r="A1" s="293" t="s">
        <v>621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5"/>
    </row>
    <row r="2" spans="1:12" s="101" customFormat="1" ht="22.95" customHeight="1">
      <c r="A2" s="103" t="s">
        <v>16</v>
      </c>
      <c r="B2" s="104" t="s">
        <v>17</v>
      </c>
      <c r="C2" s="104" t="s">
        <v>18</v>
      </c>
      <c r="D2" s="104" t="s">
        <v>19</v>
      </c>
      <c r="E2" s="104" t="s">
        <v>20</v>
      </c>
      <c r="F2" s="104" t="s">
        <v>21</v>
      </c>
      <c r="G2" s="104" t="s">
        <v>22</v>
      </c>
      <c r="H2" s="104" t="s">
        <v>23</v>
      </c>
      <c r="I2" s="104" t="s">
        <v>24</v>
      </c>
      <c r="J2" s="104" t="s">
        <v>25</v>
      </c>
      <c r="K2" s="104" t="s">
        <v>26</v>
      </c>
      <c r="L2" s="104" t="s">
        <v>27</v>
      </c>
    </row>
    <row r="3" spans="1:12">
      <c r="A3" s="124">
        <v>1</v>
      </c>
      <c r="B3" s="125" t="s">
        <v>595</v>
      </c>
      <c r="C3" s="125" t="s">
        <v>596</v>
      </c>
      <c r="D3" s="124">
        <v>15</v>
      </c>
      <c r="E3" s="127">
        <v>46316</v>
      </c>
      <c r="F3" s="127">
        <v>46331</v>
      </c>
      <c r="G3" s="127"/>
      <c r="H3" s="127"/>
      <c r="I3" s="270">
        <v>0.2</v>
      </c>
      <c r="J3" s="126" t="s">
        <v>31</v>
      </c>
      <c r="K3" s="126" t="s">
        <v>599</v>
      </c>
      <c r="L3" s="128"/>
    </row>
    <row r="4" spans="1:12" s="292" customFormat="1">
      <c r="A4" s="284">
        <v>1.1000000000000001</v>
      </c>
      <c r="B4" s="285" t="s">
        <v>607</v>
      </c>
      <c r="C4" s="285"/>
      <c r="D4" s="284"/>
      <c r="E4" s="286"/>
      <c r="F4" s="287"/>
      <c r="G4" s="286"/>
      <c r="H4" s="287"/>
      <c r="I4" s="288"/>
      <c r="J4" s="289"/>
      <c r="K4" s="290"/>
      <c r="L4" s="291"/>
    </row>
    <row r="5" spans="1:12" ht="15" customHeight="1">
      <c r="A5" s="26">
        <v>1.2</v>
      </c>
      <c r="B5" s="271" t="s">
        <v>605</v>
      </c>
      <c r="C5" s="271"/>
      <c r="D5" s="110"/>
      <c r="E5" s="273"/>
      <c r="F5" s="181"/>
      <c r="G5" s="273"/>
      <c r="H5" s="111"/>
      <c r="I5" s="40"/>
      <c r="J5" s="283"/>
      <c r="K5" s="272"/>
      <c r="L5" s="130"/>
    </row>
    <row r="6" spans="1:12">
      <c r="A6" s="26">
        <v>1.3</v>
      </c>
      <c r="B6" s="271" t="s">
        <v>606</v>
      </c>
      <c r="C6" s="271"/>
      <c r="D6" s="110"/>
      <c r="E6" s="273"/>
      <c r="F6" s="181"/>
      <c r="G6" s="273"/>
      <c r="H6" s="111"/>
      <c r="I6" s="40"/>
      <c r="J6" s="283"/>
      <c r="K6" s="272"/>
      <c r="L6" s="130"/>
    </row>
    <row r="7" spans="1:12">
      <c r="A7" s="26">
        <v>1.4</v>
      </c>
      <c r="B7" s="271" t="s">
        <v>613</v>
      </c>
      <c r="C7" s="271"/>
      <c r="D7" s="110"/>
      <c r="E7" s="273"/>
      <c r="F7" s="181"/>
      <c r="G7" s="273"/>
      <c r="H7" s="111"/>
      <c r="I7" s="40"/>
      <c r="J7" s="283"/>
      <c r="K7" s="272"/>
      <c r="L7" s="130"/>
    </row>
    <row r="8" spans="1:12">
      <c r="A8" s="26">
        <v>1.5</v>
      </c>
      <c r="B8" s="271" t="s">
        <v>608</v>
      </c>
      <c r="C8" s="271"/>
      <c r="D8" s="110"/>
      <c r="E8" s="273"/>
      <c r="F8" s="274"/>
      <c r="G8" s="273"/>
      <c r="H8" s="111"/>
      <c r="I8" s="40"/>
      <c r="J8" s="283"/>
      <c r="K8" s="272"/>
      <c r="L8" s="130"/>
    </row>
    <row r="9" spans="1:12">
      <c r="A9" s="26">
        <v>1.6</v>
      </c>
      <c r="B9" s="271" t="s">
        <v>615</v>
      </c>
      <c r="C9" s="27"/>
      <c r="D9" s="110"/>
      <c r="E9" s="111"/>
      <c r="F9" s="111"/>
      <c r="G9" s="111"/>
      <c r="H9" s="111"/>
      <c r="I9" s="40"/>
      <c r="J9" s="40"/>
      <c r="K9" s="25"/>
      <c r="L9" s="130"/>
    </row>
    <row r="10" spans="1:12">
      <c r="A10" s="26"/>
      <c r="B10" s="27"/>
      <c r="C10" s="27"/>
      <c r="D10" s="110"/>
      <c r="E10" s="111"/>
      <c r="F10" s="111"/>
      <c r="G10" s="111"/>
      <c r="H10" s="111"/>
      <c r="I10" s="40"/>
      <c r="J10" s="40"/>
      <c r="K10" s="25"/>
      <c r="L10" s="130"/>
    </row>
    <row r="11" spans="1:12" s="282" customFormat="1">
      <c r="A11" s="239">
        <v>2</v>
      </c>
      <c r="B11" s="240" t="s">
        <v>597</v>
      </c>
      <c r="C11" s="240" t="s">
        <v>598</v>
      </c>
      <c r="D11" s="275">
        <v>15</v>
      </c>
      <c r="E11" s="276">
        <v>46331</v>
      </c>
      <c r="F11" s="277">
        <v>46346</v>
      </c>
      <c r="G11" s="276"/>
      <c r="H11" s="277"/>
      <c r="I11" s="278">
        <v>0</v>
      </c>
      <c r="J11" s="279" t="s">
        <v>31</v>
      </c>
      <c r="K11" s="280" t="s">
        <v>599</v>
      </c>
      <c r="L11" s="281"/>
    </row>
    <row r="12" spans="1:12">
      <c r="A12" s="26">
        <v>2.1</v>
      </c>
      <c r="B12" s="271" t="s">
        <v>609</v>
      </c>
      <c r="C12" s="27"/>
      <c r="D12" s="110"/>
      <c r="E12" s="131"/>
      <c r="F12" s="131"/>
      <c r="G12" s="111"/>
      <c r="H12" s="111"/>
      <c r="I12" s="26"/>
      <c r="J12" s="25"/>
      <c r="K12" s="25"/>
      <c r="L12" s="130"/>
    </row>
    <row r="13" spans="1:12">
      <c r="A13" s="26">
        <v>2.2000000000000002</v>
      </c>
      <c r="B13" s="271" t="s">
        <v>622</v>
      </c>
      <c r="C13" s="27"/>
      <c r="D13" s="110"/>
      <c r="E13" s="131"/>
      <c r="F13" s="131"/>
      <c r="G13" s="111"/>
      <c r="H13" s="111"/>
      <c r="I13" s="26"/>
      <c r="J13" s="25"/>
      <c r="K13" s="25"/>
      <c r="L13" s="130"/>
    </row>
    <row r="14" spans="1:12" s="282" customFormat="1" ht="28.8">
      <c r="A14" s="239">
        <v>3</v>
      </c>
      <c r="B14" s="240" t="s">
        <v>616</v>
      </c>
      <c r="C14" s="240" t="s">
        <v>601</v>
      </c>
      <c r="D14" s="275">
        <v>20</v>
      </c>
      <c r="E14" s="276">
        <v>46346</v>
      </c>
      <c r="F14" s="277">
        <v>46366</v>
      </c>
      <c r="G14" s="276"/>
      <c r="H14" s="277"/>
      <c r="I14" s="278">
        <v>0</v>
      </c>
      <c r="J14" s="279" t="s">
        <v>31</v>
      </c>
      <c r="K14" s="280" t="s">
        <v>599</v>
      </c>
      <c r="L14" s="281"/>
    </row>
    <row r="15" spans="1:12">
      <c r="A15" s="26">
        <v>3.1</v>
      </c>
      <c r="B15" s="271" t="s">
        <v>610</v>
      </c>
      <c r="C15" s="27"/>
      <c r="D15" s="110"/>
      <c r="E15" s="129"/>
      <c r="F15" s="129"/>
      <c r="G15" s="129"/>
      <c r="H15" s="129"/>
      <c r="I15" s="40"/>
      <c r="J15" s="40"/>
      <c r="K15" s="25"/>
      <c r="L15" s="130"/>
    </row>
    <row r="16" spans="1:12">
      <c r="A16" s="26">
        <v>3.2</v>
      </c>
      <c r="B16" s="271" t="s">
        <v>611</v>
      </c>
      <c r="C16" s="27"/>
      <c r="D16" s="110"/>
      <c r="E16" s="131"/>
      <c r="F16" s="131"/>
      <c r="G16" s="111"/>
      <c r="H16" s="111"/>
      <c r="I16" s="26"/>
      <c r="J16" s="25"/>
      <c r="K16" s="25"/>
      <c r="L16" s="130"/>
    </row>
    <row r="17" spans="1:12">
      <c r="A17" s="26">
        <v>3.3</v>
      </c>
      <c r="B17" s="271" t="s">
        <v>612</v>
      </c>
      <c r="C17" s="27"/>
      <c r="D17" s="110"/>
      <c r="E17" s="131"/>
      <c r="F17" s="131"/>
      <c r="G17" s="111"/>
      <c r="H17" s="111"/>
      <c r="I17" s="26"/>
      <c r="J17" s="25"/>
      <c r="K17" s="25"/>
      <c r="L17" s="130"/>
    </row>
    <row r="18" spans="1:12">
      <c r="A18" s="26">
        <v>3.4</v>
      </c>
      <c r="B18" s="271" t="s">
        <v>614</v>
      </c>
      <c r="C18" s="27"/>
      <c r="D18" s="110"/>
      <c r="E18" s="131"/>
      <c r="F18" s="131"/>
      <c r="G18" s="111"/>
      <c r="H18" s="111"/>
      <c r="I18" s="26"/>
      <c r="J18" s="25"/>
      <c r="K18" s="25"/>
      <c r="L18" s="130"/>
    </row>
    <row r="19" spans="1:12" s="282" customFormat="1" ht="28.8">
      <c r="A19" s="239">
        <v>4</v>
      </c>
      <c r="B19" s="240" t="s">
        <v>617</v>
      </c>
      <c r="C19" s="240" t="s">
        <v>600</v>
      </c>
      <c r="D19" s="275">
        <v>20</v>
      </c>
      <c r="E19" s="276">
        <v>46366</v>
      </c>
      <c r="F19" s="277">
        <v>46388</v>
      </c>
      <c r="G19" s="276"/>
      <c r="H19" s="277"/>
      <c r="I19" s="278">
        <v>0</v>
      </c>
      <c r="J19" s="279" t="s">
        <v>31</v>
      </c>
      <c r="K19" s="280" t="s">
        <v>599</v>
      </c>
      <c r="L19" s="281"/>
    </row>
    <row r="20" spans="1:12">
      <c r="A20" s="26">
        <v>4.0999999999999996</v>
      </c>
      <c r="B20" s="271" t="s">
        <v>619</v>
      </c>
      <c r="C20" s="27"/>
      <c r="D20" s="110"/>
      <c r="E20" s="129"/>
      <c r="F20" s="129"/>
      <c r="G20" s="129"/>
      <c r="H20" s="129"/>
      <c r="I20" s="40"/>
      <c r="J20" s="40"/>
      <c r="K20" s="25"/>
      <c r="L20" s="130"/>
    </row>
    <row r="21" spans="1:12">
      <c r="A21" s="26">
        <v>4.2</v>
      </c>
      <c r="B21" s="271" t="s">
        <v>618</v>
      </c>
      <c r="C21" s="27"/>
      <c r="D21" s="110"/>
      <c r="E21" s="129"/>
      <c r="F21" s="129"/>
      <c r="G21" s="129"/>
      <c r="H21" s="129"/>
      <c r="I21" s="40"/>
      <c r="J21" s="40"/>
      <c r="K21" s="25"/>
      <c r="L21" s="130"/>
    </row>
    <row r="22" spans="1:12">
      <c r="A22" s="26">
        <v>4.3</v>
      </c>
      <c r="B22" s="271" t="s">
        <v>620</v>
      </c>
      <c r="C22" s="27"/>
      <c r="D22" s="110"/>
      <c r="E22" s="131"/>
      <c r="F22" s="131"/>
      <c r="G22" s="111"/>
      <c r="H22" s="111"/>
      <c r="I22" s="26"/>
      <c r="J22" s="25"/>
      <c r="K22" s="25"/>
      <c r="L22" s="130"/>
    </row>
    <row r="23" spans="1:12">
      <c r="A23" s="26"/>
      <c r="B23" s="27"/>
      <c r="C23" s="27"/>
      <c r="D23" s="110"/>
      <c r="E23" s="131"/>
      <c r="F23" s="131"/>
      <c r="G23" s="111"/>
      <c r="H23" s="111"/>
      <c r="I23" s="26"/>
      <c r="J23" s="25"/>
      <c r="K23" s="25"/>
      <c r="L23" s="130"/>
    </row>
    <row r="24" spans="1:12" s="282" customFormat="1">
      <c r="A24" s="239">
        <v>5</v>
      </c>
      <c r="B24" s="240" t="s">
        <v>602</v>
      </c>
      <c r="C24" s="240" t="s">
        <v>603</v>
      </c>
      <c r="D24" s="275">
        <v>20</v>
      </c>
      <c r="E24" s="276">
        <v>46388</v>
      </c>
      <c r="F24" s="277" t="s">
        <v>604</v>
      </c>
      <c r="G24" s="276"/>
      <c r="H24" s="277"/>
      <c r="I24" s="278">
        <v>0</v>
      </c>
      <c r="J24" s="279" t="s">
        <v>31</v>
      </c>
      <c r="K24" s="280" t="s">
        <v>599</v>
      </c>
      <c r="L24" s="281"/>
    </row>
    <row r="25" spans="1:12">
      <c r="A25" s="134"/>
      <c r="B25" s="132"/>
      <c r="C25" s="133"/>
      <c r="D25" s="134"/>
      <c r="E25" s="135"/>
      <c r="F25" s="135"/>
      <c r="G25" s="135"/>
      <c r="H25" s="135"/>
      <c r="I25" s="134"/>
      <c r="J25" s="136"/>
      <c r="K25" s="136"/>
      <c r="L25" s="137"/>
    </row>
    <row r="26" spans="1:12">
      <c r="A26" s="138"/>
      <c r="B26" s="139"/>
      <c r="C26" s="139"/>
      <c r="D26" s="138"/>
      <c r="E26" s="140"/>
      <c r="F26" s="140"/>
      <c r="G26" s="140"/>
      <c r="H26" s="140"/>
      <c r="I26" s="138"/>
      <c r="J26" s="141"/>
      <c r="K26" s="141"/>
      <c r="L26" s="142"/>
    </row>
    <row r="27" spans="1:12">
      <c r="A27" s="143"/>
      <c r="B27" s="144"/>
      <c r="C27" s="145"/>
      <c r="D27" s="143"/>
      <c r="E27" s="143"/>
      <c r="F27" s="143"/>
      <c r="G27" s="143"/>
      <c r="H27" s="143"/>
      <c r="I27" s="143"/>
      <c r="J27" s="146"/>
      <c r="K27" s="146"/>
      <c r="L27" s="147"/>
    </row>
    <row r="28" spans="1:12">
      <c r="A28" s="26"/>
      <c r="B28" s="27"/>
      <c r="C28" s="27"/>
      <c r="D28" s="110"/>
      <c r="E28" s="148"/>
      <c r="F28" s="148"/>
      <c r="G28" s="148"/>
      <c r="H28" s="148"/>
      <c r="I28" s="40"/>
      <c r="J28" s="40"/>
      <c r="K28" s="25"/>
      <c r="L28" s="130"/>
    </row>
    <row r="29" spans="1:12">
      <c r="A29" s="26"/>
      <c r="B29" s="27"/>
      <c r="C29" s="27"/>
      <c r="D29" s="110"/>
      <c r="E29" s="148"/>
      <c r="F29" s="148"/>
      <c r="G29" s="148"/>
      <c r="H29" s="148"/>
      <c r="I29" s="40"/>
      <c r="J29" s="40"/>
      <c r="K29" s="25"/>
      <c r="L29" s="130"/>
    </row>
    <row r="30" spans="1:12">
      <c r="A30" s="26"/>
      <c r="B30" s="27"/>
      <c r="C30" s="27"/>
      <c r="D30" s="110"/>
      <c r="E30" s="148"/>
      <c r="F30" s="148"/>
      <c r="G30" s="148"/>
      <c r="H30" s="148"/>
      <c r="I30" s="40"/>
      <c r="J30" s="40"/>
      <c r="K30" s="25"/>
      <c r="L30" s="130"/>
    </row>
    <row r="31" spans="1:12">
      <c r="A31" s="26"/>
      <c r="B31" s="27"/>
      <c r="C31" s="27"/>
      <c r="D31" s="110"/>
      <c r="E31" s="148"/>
      <c r="F31" s="148"/>
      <c r="G31" s="148"/>
      <c r="H31" s="148"/>
      <c r="I31" s="40"/>
      <c r="J31" s="40"/>
      <c r="K31" s="25"/>
      <c r="L31" s="130"/>
    </row>
    <row r="32" spans="1:12">
      <c r="A32" s="26"/>
      <c r="B32" s="27"/>
      <c r="C32" s="27"/>
      <c r="D32" s="110"/>
      <c r="E32" s="148"/>
      <c r="F32" s="148"/>
      <c r="G32" s="148"/>
      <c r="H32" s="148"/>
      <c r="I32" s="40"/>
      <c r="J32" s="40"/>
      <c r="K32" s="25"/>
      <c r="L32" s="130"/>
    </row>
    <row r="33" spans="1:12">
      <c r="A33" s="26"/>
      <c r="B33" s="27"/>
      <c r="C33" s="27"/>
      <c r="D33" s="110"/>
      <c r="E33" s="148"/>
      <c r="F33" s="148"/>
      <c r="G33" s="148"/>
      <c r="H33" s="148"/>
      <c r="I33" s="40"/>
      <c r="J33" s="40"/>
      <c r="K33" s="25"/>
      <c r="L33" s="130"/>
    </row>
    <row r="34" spans="1:12">
      <c r="A34" s="26"/>
      <c r="B34" s="27"/>
      <c r="C34" s="27"/>
      <c r="D34" s="110"/>
      <c r="E34" s="148"/>
      <c r="F34" s="148"/>
      <c r="G34" s="148"/>
      <c r="H34" s="148"/>
      <c r="I34" s="40"/>
      <c r="J34" s="40"/>
      <c r="K34" s="25"/>
      <c r="L34" s="130"/>
    </row>
    <row r="35" spans="1:12">
      <c r="A35" s="26"/>
      <c r="B35" s="27"/>
      <c r="C35" s="27"/>
      <c r="D35" s="110"/>
      <c r="E35" s="148"/>
      <c r="F35" s="148"/>
      <c r="G35" s="148"/>
      <c r="H35" s="148"/>
      <c r="I35" s="40"/>
      <c r="J35" s="40"/>
      <c r="K35" s="25"/>
      <c r="L35" s="130"/>
    </row>
    <row r="36" spans="1:12">
      <c r="A36" s="26"/>
      <c r="B36" s="27"/>
      <c r="C36" s="27"/>
      <c r="D36" s="110"/>
      <c r="E36" s="148"/>
      <c r="F36" s="148"/>
      <c r="G36" s="148"/>
      <c r="H36" s="148"/>
      <c r="I36" s="40"/>
      <c r="J36" s="40"/>
      <c r="K36" s="25"/>
      <c r="L36" s="130"/>
    </row>
    <row r="37" spans="1:12">
      <c r="A37" s="26"/>
      <c r="B37" s="27"/>
      <c r="C37" s="27"/>
      <c r="D37" s="110"/>
      <c r="E37" s="148"/>
      <c r="F37" s="148"/>
      <c r="G37" s="148"/>
      <c r="H37" s="148"/>
      <c r="I37" s="40"/>
      <c r="J37" s="40"/>
      <c r="K37" s="25"/>
      <c r="L37" s="130"/>
    </row>
    <row r="38" spans="1:12">
      <c r="A38" s="26"/>
      <c r="B38" s="27"/>
      <c r="C38" s="27"/>
      <c r="D38" s="110"/>
      <c r="E38" s="148"/>
      <c r="F38" s="148"/>
      <c r="G38" s="148"/>
      <c r="H38" s="148"/>
      <c r="I38" s="40"/>
      <c r="J38" s="40"/>
      <c r="K38" s="25"/>
      <c r="L38" s="130"/>
    </row>
    <row r="39" spans="1:12">
      <c r="A39" s="26"/>
      <c r="B39" s="27"/>
      <c r="C39" s="27"/>
      <c r="D39" s="110"/>
      <c r="E39" s="148"/>
      <c r="F39" s="148"/>
      <c r="G39" s="148"/>
      <c r="H39" s="148"/>
      <c r="I39" s="40"/>
      <c r="J39" s="40"/>
      <c r="K39" s="25"/>
      <c r="L39" s="130"/>
    </row>
    <row r="40" spans="1:12">
      <c r="A40" s="26"/>
      <c r="B40" s="27"/>
      <c r="C40" s="27"/>
      <c r="D40" s="110"/>
      <c r="E40" s="148"/>
      <c r="F40" s="148"/>
      <c r="G40" s="148"/>
      <c r="H40" s="148"/>
      <c r="I40" s="40"/>
      <c r="J40" s="40"/>
      <c r="K40" s="25"/>
      <c r="L40" s="130"/>
    </row>
    <row r="41" spans="1:12">
      <c r="A41" s="26"/>
      <c r="B41" s="27"/>
      <c r="C41" s="27"/>
      <c r="D41" s="110"/>
      <c r="E41" s="148"/>
      <c r="F41" s="148"/>
      <c r="G41" s="148"/>
      <c r="H41" s="148"/>
      <c r="I41" s="40"/>
      <c r="J41" s="40"/>
      <c r="K41" s="25"/>
      <c r="L41" s="130"/>
    </row>
    <row r="42" spans="1:12">
      <c r="A42" s="26"/>
      <c r="B42" s="27"/>
      <c r="C42" s="27"/>
      <c r="D42" s="110"/>
      <c r="E42" s="148"/>
      <c r="F42" s="148"/>
      <c r="G42" s="148"/>
      <c r="H42" s="148"/>
      <c r="I42" s="40"/>
      <c r="J42" s="40"/>
      <c r="K42" s="25"/>
      <c r="L42" s="130"/>
    </row>
    <row r="43" spans="1:12">
      <c r="A43" s="26"/>
      <c r="B43" s="27"/>
      <c r="C43" s="27"/>
      <c r="D43" s="110"/>
      <c r="E43" s="148"/>
      <c r="F43" s="148"/>
      <c r="G43" s="148"/>
      <c r="H43" s="148"/>
      <c r="I43" s="40"/>
      <c r="J43" s="40"/>
      <c r="K43" s="25"/>
      <c r="L43" s="130"/>
    </row>
    <row r="44" spans="1:12">
      <c r="A44" s="143"/>
      <c r="B44" s="144"/>
      <c r="C44" s="145"/>
      <c r="D44" s="143"/>
      <c r="E44" s="149"/>
      <c r="F44" s="149"/>
      <c r="G44" s="149"/>
      <c r="H44" s="149"/>
      <c r="I44" s="143"/>
      <c r="J44" s="146"/>
      <c r="K44" s="146"/>
      <c r="L44" s="147"/>
    </row>
    <row r="45" spans="1:12">
      <c r="A45" s="26"/>
      <c r="B45" s="27"/>
      <c r="C45" s="27"/>
      <c r="D45" s="110"/>
      <c r="E45" s="111"/>
      <c r="F45" s="111"/>
      <c r="G45" s="111"/>
      <c r="H45" s="111"/>
      <c r="I45" s="26"/>
      <c r="J45" s="25"/>
      <c r="K45" s="25"/>
      <c r="L45" s="130"/>
    </row>
    <row r="46" spans="1:12">
      <c r="A46" s="26"/>
      <c r="B46" s="27"/>
      <c r="C46" s="27"/>
      <c r="D46" s="110"/>
      <c r="E46" s="111"/>
      <c r="F46" s="111"/>
      <c r="G46" s="111"/>
      <c r="H46" s="111"/>
      <c r="I46" s="26"/>
      <c r="J46" s="25"/>
      <c r="K46" s="25"/>
      <c r="L46" s="130"/>
    </row>
    <row r="47" spans="1:12">
      <c r="A47" s="26"/>
      <c r="B47" s="27"/>
      <c r="C47" s="27"/>
      <c r="D47" s="110"/>
      <c r="E47" s="111"/>
      <c r="F47" s="111"/>
      <c r="G47" s="111"/>
      <c r="H47" s="111"/>
      <c r="I47" s="26"/>
      <c r="J47" s="25"/>
      <c r="K47" s="25"/>
      <c r="L47" s="130"/>
    </row>
    <row r="48" spans="1:12">
      <c r="A48" s="26"/>
      <c r="B48" s="27"/>
      <c r="C48" s="27"/>
      <c r="D48" s="110"/>
      <c r="E48" s="111"/>
      <c r="F48" s="111"/>
      <c r="G48" s="111"/>
      <c r="H48" s="111"/>
      <c r="I48" s="26"/>
      <c r="J48" s="25"/>
      <c r="K48" s="25"/>
      <c r="L48" s="130"/>
    </row>
    <row r="49" spans="1:12">
      <c r="A49" s="26"/>
      <c r="B49" s="27"/>
      <c r="C49" s="27"/>
      <c r="D49" s="110"/>
      <c r="E49" s="111"/>
      <c r="F49" s="111"/>
      <c r="G49" s="111"/>
      <c r="H49" s="111"/>
      <c r="I49" s="26"/>
      <c r="J49" s="25"/>
      <c r="K49" s="25"/>
      <c r="L49" s="130"/>
    </row>
    <row r="50" spans="1:12">
      <c r="A50" s="26"/>
      <c r="B50" s="27"/>
      <c r="C50" s="27"/>
      <c r="D50" s="110"/>
      <c r="E50" s="111"/>
      <c r="F50" s="111"/>
      <c r="G50" s="111"/>
      <c r="H50" s="111"/>
      <c r="I50" s="26"/>
      <c r="J50" s="25"/>
      <c r="K50" s="25"/>
      <c r="L50" s="130"/>
    </row>
    <row r="51" spans="1:12">
      <c r="A51" s="26"/>
      <c r="B51" s="27"/>
      <c r="C51" s="27"/>
      <c r="D51" s="110"/>
      <c r="E51" s="111"/>
      <c r="F51" s="111"/>
      <c r="G51" s="111"/>
      <c r="H51" s="111"/>
      <c r="I51" s="26"/>
      <c r="J51" s="25"/>
      <c r="K51" s="25"/>
      <c r="L51" s="130"/>
    </row>
    <row r="52" spans="1:12">
      <c r="A52" s="26"/>
      <c r="B52" s="27"/>
      <c r="C52" s="27"/>
      <c r="D52" s="110"/>
      <c r="E52" s="111"/>
      <c r="F52" s="111"/>
      <c r="G52" s="111"/>
      <c r="H52" s="111"/>
      <c r="I52" s="26"/>
      <c r="J52" s="25"/>
      <c r="K52" s="25"/>
      <c r="L52" s="130"/>
    </row>
    <row r="53" spans="1:12">
      <c r="A53" s="143"/>
      <c r="B53" s="144"/>
      <c r="C53" s="145"/>
      <c r="D53" s="143"/>
      <c r="E53" s="143"/>
      <c r="F53" s="143"/>
      <c r="G53" s="143"/>
      <c r="H53" s="149"/>
      <c r="I53" s="143"/>
      <c r="J53" s="146"/>
      <c r="K53" s="146"/>
      <c r="L53" s="147"/>
    </row>
    <row r="54" spans="1:12">
      <c r="A54" s="26"/>
      <c r="B54" s="27"/>
      <c r="C54" s="27"/>
      <c r="D54" s="110"/>
      <c r="E54" s="148"/>
      <c r="F54" s="148"/>
      <c r="G54" s="148"/>
      <c r="H54" s="148"/>
      <c r="I54" s="40"/>
      <c r="J54" s="40"/>
      <c r="K54" s="25"/>
      <c r="L54" s="130"/>
    </row>
    <row r="55" spans="1:12">
      <c r="A55" s="26"/>
      <c r="B55" s="114"/>
      <c r="C55" s="114"/>
      <c r="D55" s="110"/>
      <c r="E55" s="148"/>
      <c r="F55" s="148"/>
      <c r="G55" s="148"/>
      <c r="H55" s="148"/>
      <c r="I55" s="40"/>
      <c r="J55" s="40"/>
      <c r="K55" s="25"/>
      <c r="L55" s="130"/>
    </row>
    <row r="56" spans="1:12">
      <c r="A56" s="26"/>
      <c r="B56" s="114"/>
      <c r="C56" s="114"/>
      <c r="D56" s="110"/>
      <c r="E56" s="148"/>
      <c r="F56" s="148"/>
      <c r="G56" s="148"/>
      <c r="H56" s="148"/>
      <c r="I56" s="40"/>
      <c r="J56" s="40"/>
      <c r="K56" s="25"/>
      <c r="L56" s="130"/>
    </row>
    <row r="57" spans="1:12">
      <c r="A57" s="26"/>
      <c r="B57" s="114"/>
      <c r="C57" s="114"/>
      <c r="D57" s="110"/>
      <c r="E57" s="148"/>
      <c r="F57" s="148"/>
      <c r="G57" s="148"/>
      <c r="H57" s="148"/>
      <c r="I57" s="40"/>
      <c r="J57" s="40"/>
      <c r="K57" s="25"/>
      <c r="L57" s="130"/>
    </row>
    <row r="58" spans="1:12">
      <c r="A58" s="26"/>
      <c r="B58" s="27"/>
      <c r="C58" s="27"/>
      <c r="D58" s="110"/>
      <c r="E58" s="148"/>
      <c r="F58" s="131"/>
      <c r="G58" s="148"/>
      <c r="H58" s="111"/>
      <c r="I58" s="40"/>
      <c r="J58" s="40"/>
      <c r="K58" s="25"/>
      <c r="L58" s="130"/>
    </row>
    <row r="59" spans="1:12">
      <c r="A59" s="26"/>
      <c r="B59" s="27"/>
      <c r="C59" s="27"/>
      <c r="D59" s="110"/>
      <c r="E59" s="148"/>
      <c r="F59" s="131"/>
      <c r="G59" s="148"/>
      <c r="H59" s="111"/>
      <c r="I59" s="40"/>
      <c r="J59" s="40"/>
      <c r="K59" s="25"/>
      <c r="L59" s="130"/>
    </row>
    <row r="60" spans="1:12">
      <c r="A60" s="143"/>
      <c r="B60" s="144"/>
      <c r="C60" s="145"/>
      <c r="D60" s="143"/>
      <c r="E60" s="143"/>
      <c r="F60" s="143"/>
      <c r="G60" s="143"/>
      <c r="H60" s="149"/>
      <c r="I60" s="143"/>
      <c r="J60" s="146"/>
      <c r="K60" s="146"/>
      <c r="L60" s="147"/>
    </row>
    <row r="61" spans="1:12">
      <c r="A61" s="26"/>
      <c r="B61" s="114"/>
      <c r="C61" s="114"/>
      <c r="D61" s="110"/>
      <c r="E61" s="148"/>
      <c r="F61" s="148"/>
      <c r="G61" s="148"/>
      <c r="H61" s="148"/>
      <c r="I61" s="40"/>
      <c r="J61" s="40"/>
      <c r="K61" s="25"/>
      <c r="L61" s="130"/>
    </row>
    <row r="62" spans="1:12">
      <c r="A62" s="26"/>
      <c r="B62" s="114"/>
      <c r="C62" s="114"/>
      <c r="D62" s="110"/>
      <c r="E62" s="148"/>
      <c r="F62" s="148"/>
      <c r="G62" s="148"/>
      <c r="H62" s="148"/>
      <c r="I62" s="40"/>
      <c r="J62" s="40"/>
      <c r="K62" s="25"/>
      <c r="L62" s="130"/>
    </row>
    <row r="63" spans="1:12">
      <c r="A63" s="26"/>
      <c r="B63" s="114"/>
      <c r="C63" s="114"/>
      <c r="D63" s="110"/>
      <c r="E63" s="148"/>
      <c r="F63" s="148"/>
      <c r="G63" s="148"/>
      <c r="H63" s="148"/>
      <c r="I63" s="40"/>
      <c r="J63" s="40"/>
      <c r="K63" s="25"/>
      <c r="L63" s="130"/>
    </row>
    <row r="64" spans="1:12">
      <c r="A64" s="26"/>
      <c r="B64" s="114"/>
      <c r="C64" s="114"/>
      <c r="D64" s="110"/>
      <c r="E64" s="148"/>
      <c r="F64" s="148"/>
      <c r="G64" s="148"/>
      <c r="H64" s="148"/>
      <c r="I64" s="40"/>
      <c r="J64" s="40"/>
      <c r="K64" s="25"/>
      <c r="L64" s="130"/>
    </row>
    <row r="65" spans="1:12">
      <c r="A65" s="26"/>
      <c r="B65" s="114"/>
      <c r="C65" s="114"/>
      <c r="D65" s="110"/>
      <c r="E65" s="148"/>
      <c r="F65" s="148"/>
      <c r="G65" s="148"/>
      <c r="H65" s="148"/>
      <c r="I65" s="40"/>
      <c r="J65" s="40"/>
      <c r="K65" s="25"/>
      <c r="L65" s="130"/>
    </row>
    <row r="66" spans="1:12">
      <c r="A66" s="26"/>
      <c r="B66" s="27"/>
      <c r="C66" s="27"/>
      <c r="D66" s="110"/>
      <c r="E66" s="148"/>
      <c r="F66" s="131"/>
      <c r="G66" s="148"/>
      <c r="H66" s="131"/>
      <c r="I66" s="40"/>
      <c r="J66" s="40"/>
      <c r="K66" s="25"/>
      <c r="L66" s="130"/>
    </row>
    <row r="67" spans="1:12">
      <c r="A67" s="138"/>
      <c r="B67" s="139"/>
      <c r="C67" s="139"/>
      <c r="D67" s="138"/>
      <c r="E67" s="140"/>
      <c r="F67" s="140"/>
      <c r="G67" s="140"/>
      <c r="H67" s="140"/>
      <c r="I67" s="138"/>
      <c r="J67" s="141"/>
      <c r="K67" s="141"/>
      <c r="L67" s="142"/>
    </row>
    <row r="68" spans="1:12">
      <c r="A68" s="143"/>
      <c r="B68" s="144"/>
      <c r="C68" s="145"/>
      <c r="D68" s="143"/>
      <c r="E68" s="149"/>
      <c r="F68" s="149"/>
      <c r="G68" s="149"/>
      <c r="H68" s="149"/>
      <c r="I68" s="143"/>
      <c r="J68" s="146"/>
      <c r="K68" s="146"/>
      <c r="L68" s="147"/>
    </row>
    <row r="69" spans="1:12">
      <c r="A69" s="189"/>
      <c r="B69" s="190"/>
      <c r="C69" s="191"/>
      <c r="D69" s="192"/>
      <c r="E69" s="193"/>
      <c r="F69" s="193"/>
      <c r="G69" s="193"/>
      <c r="H69" s="111"/>
      <c r="I69" s="40"/>
      <c r="J69" s="40"/>
      <c r="K69" s="25"/>
      <c r="L69" s="130"/>
    </row>
    <row r="70" spans="1:12">
      <c r="A70" s="189"/>
      <c r="B70" s="190"/>
      <c r="C70" s="191"/>
      <c r="D70" s="192"/>
      <c r="E70" s="193"/>
      <c r="F70" s="193"/>
      <c r="G70" s="193"/>
      <c r="H70" s="111"/>
      <c r="I70" s="40"/>
      <c r="J70" s="40"/>
      <c r="K70" s="25"/>
      <c r="L70" s="130"/>
    </row>
    <row r="71" spans="1:12">
      <c r="A71" s="26"/>
      <c r="B71" s="27"/>
      <c r="C71" s="27"/>
      <c r="D71" s="110"/>
      <c r="E71" s="111"/>
      <c r="F71" s="111"/>
      <c r="G71" s="111"/>
      <c r="H71" s="111"/>
      <c r="I71" s="40"/>
      <c r="J71" s="40"/>
      <c r="K71" s="25"/>
      <c r="L71" s="130"/>
    </row>
    <row r="72" spans="1:12">
      <c r="A72" s="26"/>
      <c r="B72" s="27"/>
      <c r="C72" s="27"/>
      <c r="D72" s="110"/>
      <c r="E72" s="111"/>
      <c r="F72" s="111"/>
      <c r="G72" s="111"/>
      <c r="H72" s="111"/>
      <c r="I72" s="40"/>
      <c r="J72" s="40"/>
      <c r="K72" s="25"/>
      <c r="L72" s="130"/>
    </row>
    <row r="73" spans="1:12">
      <c r="A73" s="26"/>
      <c r="B73" s="114"/>
      <c r="C73" s="27"/>
      <c r="D73" s="110"/>
      <c r="E73" s="111"/>
      <c r="F73" s="111"/>
      <c r="G73" s="111"/>
      <c r="H73" s="111"/>
      <c r="I73" s="40"/>
      <c r="J73" s="40"/>
      <c r="K73" s="25"/>
      <c r="L73" s="130"/>
    </row>
    <row r="74" spans="1:12">
      <c r="A74" s="26"/>
      <c r="B74" s="27"/>
      <c r="C74" s="27"/>
      <c r="D74" s="110"/>
      <c r="E74" s="111"/>
      <c r="F74" s="111"/>
      <c r="G74" s="111"/>
      <c r="H74" s="111"/>
      <c r="I74" s="40"/>
      <c r="J74" s="40"/>
      <c r="K74" s="25"/>
      <c r="L74" s="130"/>
    </row>
    <row r="75" spans="1:12">
      <c r="A75" s="143"/>
      <c r="B75" s="144"/>
      <c r="C75" s="145"/>
      <c r="D75" s="143"/>
      <c r="E75" s="143"/>
      <c r="F75" s="143"/>
      <c r="G75" s="149"/>
      <c r="H75" s="149"/>
      <c r="I75" s="143"/>
      <c r="J75" s="146"/>
      <c r="K75" s="146"/>
      <c r="L75" s="147"/>
    </row>
    <row r="76" spans="1:12">
      <c r="A76" s="26"/>
      <c r="B76" s="27"/>
      <c r="C76" s="27"/>
      <c r="D76" s="110"/>
      <c r="E76" s="148"/>
      <c r="F76" s="148"/>
      <c r="G76" s="148"/>
      <c r="H76" s="111"/>
      <c r="I76" s="40"/>
      <c r="J76" s="40"/>
      <c r="K76" s="25"/>
      <c r="L76" s="130"/>
    </row>
    <row r="77" spans="1:12">
      <c r="A77" s="26"/>
      <c r="B77" s="27"/>
      <c r="C77" s="27"/>
      <c r="D77" s="110"/>
      <c r="E77" s="148"/>
      <c r="F77" s="148"/>
      <c r="G77" s="148"/>
      <c r="H77" s="111"/>
      <c r="I77" s="40"/>
      <c r="J77" s="40"/>
      <c r="K77" s="25"/>
      <c r="L77" s="130"/>
    </row>
    <row r="78" spans="1:12">
      <c r="A78" s="26"/>
      <c r="B78" s="27"/>
      <c r="C78" s="27"/>
      <c r="D78" s="110"/>
      <c r="E78" s="148"/>
      <c r="F78" s="148"/>
      <c r="G78" s="111"/>
      <c r="H78" s="111"/>
      <c r="I78" s="40"/>
      <c r="J78" s="40"/>
      <c r="K78" s="25"/>
      <c r="L78" s="130"/>
    </row>
    <row r="79" spans="1:12">
      <c r="A79" s="26"/>
      <c r="B79" s="27"/>
      <c r="C79" s="27"/>
      <c r="D79" s="110"/>
      <c r="E79" s="148"/>
      <c r="F79" s="148"/>
      <c r="G79" s="111"/>
      <c r="H79" s="111"/>
      <c r="I79" s="40"/>
      <c r="J79" s="40"/>
      <c r="K79" s="25"/>
      <c r="L79" s="130"/>
    </row>
    <row r="80" spans="1:12">
      <c r="A80" s="143"/>
      <c r="B80" s="144"/>
      <c r="C80" s="145"/>
      <c r="D80" s="143"/>
      <c r="E80" s="143"/>
      <c r="F80" s="143"/>
      <c r="G80" s="143"/>
      <c r="H80" s="149"/>
      <c r="I80" s="143"/>
      <c r="J80" s="146"/>
      <c r="K80" s="146"/>
      <c r="L80" s="147"/>
    </row>
    <row r="81" spans="1:12">
      <c r="A81" s="26"/>
      <c r="B81" s="27"/>
      <c r="C81" s="27"/>
      <c r="D81" s="110"/>
      <c r="E81" s="148"/>
      <c r="F81" s="148"/>
      <c r="G81" s="148"/>
      <c r="H81" s="148"/>
      <c r="I81" s="40"/>
      <c r="J81" s="40"/>
      <c r="K81" s="25"/>
      <c r="L81" s="130"/>
    </row>
    <row r="82" spans="1:12">
      <c r="A82" s="26"/>
      <c r="B82" s="27"/>
      <c r="C82" s="27"/>
      <c r="D82" s="110"/>
      <c r="E82" s="148"/>
      <c r="F82" s="148"/>
      <c r="G82" s="148"/>
      <c r="H82" s="148"/>
      <c r="I82" s="40"/>
      <c r="J82" s="40"/>
      <c r="K82" s="25"/>
      <c r="L82" s="130"/>
    </row>
    <row r="83" spans="1:12">
      <c r="A83" s="26"/>
      <c r="B83" s="27"/>
      <c r="C83" s="27"/>
      <c r="D83" s="110"/>
      <c r="E83" s="148"/>
      <c r="F83" s="148"/>
      <c r="G83" s="148"/>
      <c r="H83" s="148"/>
      <c r="I83" s="40"/>
      <c r="J83" s="40"/>
      <c r="K83" s="25"/>
      <c r="L83" s="130"/>
    </row>
    <row r="84" spans="1:12">
      <c r="A84" s="26"/>
      <c r="B84" s="27"/>
      <c r="C84" s="27"/>
      <c r="D84" s="110"/>
      <c r="E84" s="148"/>
      <c r="F84" s="148"/>
      <c r="G84" s="148"/>
      <c r="H84" s="148"/>
      <c r="I84" s="40"/>
      <c r="J84" s="40"/>
      <c r="K84" s="25"/>
      <c r="L84" s="130"/>
    </row>
    <row r="85" spans="1:12">
      <c r="A85" s="143"/>
      <c r="B85" s="144"/>
      <c r="C85" s="145"/>
      <c r="D85" s="143"/>
      <c r="E85" s="143"/>
      <c r="F85" s="143"/>
      <c r="G85" s="143"/>
      <c r="H85" s="149"/>
      <c r="I85" s="143"/>
      <c r="J85" s="146"/>
      <c r="K85" s="146"/>
      <c r="L85" s="147"/>
    </row>
    <row r="86" spans="1:12">
      <c r="A86" s="26"/>
      <c r="B86" s="114"/>
      <c r="C86" s="27"/>
      <c r="D86" s="110"/>
      <c r="E86" s="148"/>
      <c r="F86" s="148"/>
      <c r="G86" s="148"/>
      <c r="H86" s="111"/>
      <c r="I86" s="40"/>
      <c r="J86" s="40"/>
      <c r="K86" s="25"/>
      <c r="L86" s="130"/>
    </row>
    <row r="87" spans="1:12">
      <c r="A87" s="26"/>
      <c r="B87" s="114"/>
      <c r="C87" s="27"/>
      <c r="D87" s="110"/>
      <c r="E87" s="148"/>
      <c r="F87" s="148"/>
      <c r="G87" s="148"/>
      <c r="H87" s="148"/>
      <c r="I87" s="40"/>
      <c r="J87" s="40"/>
      <c r="K87" s="25"/>
      <c r="L87" s="130"/>
    </row>
    <row r="88" spans="1:12">
      <c r="A88" s="26"/>
      <c r="B88" s="114"/>
      <c r="C88" s="27"/>
      <c r="D88" s="110"/>
      <c r="E88" s="148"/>
      <c r="F88" s="148"/>
      <c r="G88" s="148"/>
      <c r="H88" s="148"/>
      <c r="I88" s="40"/>
      <c r="J88" s="40"/>
      <c r="K88" s="25"/>
      <c r="L88" s="130"/>
    </row>
    <row r="89" spans="1:12">
      <c r="A89" s="26"/>
      <c r="B89" s="114"/>
      <c r="C89" s="27"/>
      <c r="D89" s="110"/>
      <c r="E89" s="148"/>
      <c r="F89" s="148"/>
      <c r="G89" s="148"/>
      <c r="H89" s="148"/>
      <c r="I89" s="40"/>
      <c r="J89" s="40"/>
      <c r="K89" s="25"/>
      <c r="L89" s="130"/>
    </row>
    <row r="90" spans="1:12">
      <c r="A90" s="138"/>
      <c r="B90" s="139"/>
      <c r="C90" s="139"/>
      <c r="D90" s="138"/>
      <c r="E90" s="140"/>
      <c r="F90" s="140"/>
      <c r="G90" s="140"/>
      <c r="H90" s="140"/>
      <c r="I90" s="138"/>
      <c r="J90" s="141"/>
      <c r="K90" s="141"/>
      <c r="L90" s="142"/>
    </row>
    <row r="91" spans="1:12">
      <c r="A91" s="143"/>
      <c r="B91" s="144"/>
      <c r="C91" s="145"/>
      <c r="D91" s="143"/>
      <c r="E91" s="143"/>
      <c r="F91" s="143"/>
      <c r="G91" s="149"/>
      <c r="H91" s="149"/>
      <c r="I91" s="143"/>
      <c r="J91" s="146"/>
      <c r="K91" s="146"/>
      <c r="L91" s="147"/>
    </row>
    <row r="92" spans="1:12">
      <c r="A92" s="26"/>
      <c r="B92" s="114"/>
      <c r="C92" s="114"/>
      <c r="D92" s="110"/>
      <c r="E92" s="131"/>
      <c r="F92" s="194"/>
      <c r="G92" s="131"/>
      <c r="H92" s="131"/>
      <c r="I92" s="40"/>
      <c r="J92" s="40"/>
      <c r="K92" s="25"/>
      <c r="L92" s="130"/>
    </row>
    <row r="93" spans="1:12">
      <c r="A93" s="26"/>
      <c r="B93" s="114"/>
      <c r="C93" s="114"/>
      <c r="D93" s="110"/>
      <c r="E93" s="194"/>
      <c r="F93" s="194"/>
      <c r="G93" s="111"/>
      <c r="H93" s="111"/>
      <c r="I93" s="40"/>
      <c r="J93" s="40"/>
      <c r="K93" s="25"/>
      <c r="L93" s="130"/>
    </row>
    <row r="94" spans="1:12">
      <c r="A94" s="26"/>
      <c r="B94" s="114"/>
      <c r="C94" s="114"/>
      <c r="D94" s="110"/>
      <c r="E94" s="194"/>
      <c r="F94" s="194"/>
      <c r="G94" s="111"/>
      <c r="H94" s="111"/>
      <c r="I94" s="40"/>
      <c r="J94" s="40"/>
      <c r="K94" s="25"/>
      <c r="L94" s="130"/>
    </row>
    <row r="95" spans="1:12">
      <c r="A95" s="26"/>
      <c r="B95" s="114"/>
      <c r="C95" s="114"/>
      <c r="D95" s="110"/>
      <c r="E95" s="194"/>
      <c r="F95" s="194"/>
      <c r="G95" s="111"/>
      <c r="H95" s="111"/>
      <c r="I95" s="40"/>
      <c r="J95" s="40"/>
      <c r="K95" s="25"/>
      <c r="L95" s="130"/>
    </row>
    <row r="96" spans="1:12">
      <c r="A96" s="143"/>
      <c r="B96" s="144"/>
      <c r="C96" s="145"/>
      <c r="D96" s="143"/>
      <c r="E96" s="143"/>
      <c r="F96" s="143"/>
      <c r="G96" s="149"/>
      <c r="H96" s="149"/>
      <c r="I96" s="143"/>
      <c r="J96" s="146"/>
      <c r="K96" s="146"/>
      <c r="L96" s="147"/>
    </row>
    <row r="97" spans="1:12">
      <c r="A97" s="26"/>
      <c r="B97" s="27"/>
      <c r="C97" s="27"/>
      <c r="D97" s="110"/>
      <c r="E97" s="131"/>
      <c r="F97" s="194"/>
      <c r="G97" s="131"/>
      <c r="H97" s="111"/>
      <c r="I97" s="40"/>
      <c r="J97" s="40"/>
      <c r="K97" s="25"/>
      <c r="L97" s="130"/>
    </row>
    <row r="98" spans="1:12">
      <c r="A98" s="26"/>
      <c r="B98" s="27"/>
      <c r="C98" s="27"/>
      <c r="D98" s="110"/>
      <c r="E98" s="194"/>
      <c r="F98" s="194"/>
      <c r="G98" s="111"/>
      <c r="H98" s="111"/>
      <c r="I98" s="40"/>
      <c r="J98" s="40"/>
      <c r="K98" s="25"/>
      <c r="L98" s="130"/>
    </row>
    <row r="99" spans="1:12">
      <c r="A99" s="26"/>
      <c r="B99" s="27"/>
      <c r="C99" s="27"/>
      <c r="D99" s="110"/>
      <c r="E99" s="194"/>
      <c r="F99" s="194"/>
      <c r="G99" s="111"/>
      <c r="H99" s="111"/>
      <c r="I99" s="40"/>
      <c r="J99" s="40"/>
      <c r="K99" s="25"/>
      <c r="L99" s="130"/>
    </row>
    <row r="100" spans="1:12">
      <c r="A100" s="26"/>
      <c r="B100" s="27"/>
      <c r="C100" s="27"/>
      <c r="D100" s="110"/>
      <c r="E100" s="194"/>
      <c r="F100" s="194"/>
      <c r="G100" s="111"/>
      <c r="H100" s="111"/>
      <c r="I100" s="40"/>
      <c r="J100" s="40"/>
      <c r="K100" s="25"/>
      <c r="L100" s="130"/>
    </row>
    <row r="101" spans="1:12">
      <c r="A101" s="143"/>
      <c r="B101" s="144"/>
      <c r="C101" s="145"/>
      <c r="D101" s="143"/>
      <c r="E101" s="149"/>
      <c r="F101" s="149"/>
      <c r="G101" s="149"/>
      <c r="H101" s="149"/>
      <c r="I101" s="143"/>
      <c r="J101" s="146"/>
      <c r="K101" s="146"/>
      <c r="L101" s="147"/>
    </row>
    <row r="102" spans="1:12">
      <c r="A102" s="172"/>
      <c r="B102" s="173"/>
      <c r="C102" s="173"/>
      <c r="D102" s="172"/>
      <c r="E102" s="174"/>
      <c r="F102" s="174"/>
      <c r="G102" s="174"/>
      <c r="H102" s="174"/>
      <c r="I102" s="172"/>
      <c r="J102" s="175"/>
      <c r="K102" s="175"/>
      <c r="L102" s="176"/>
    </row>
    <row r="103" spans="1:12">
      <c r="A103" s="26"/>
      <c r="B103" s="159"/>
      <c r="C103" s="114"/>
      <c r="D103" s="110"/>
      <c r="E103" s="148"/>
      <c r="F103" s="194"/>
      <c r="G103" s="111"/>
      <c r="H103" s="111"/>
      <c r="I103" s="40"/>
      <c r="J103" s="40"/>
      <c r="K103" s="25"/>
      <c r="L103" s="130"/>
    </row>
    <row r="104" spans="1:12">
      <c r="A104" s="26"/>
      <c r="B104" s="159"/>
      <c r="C104" s="114"/>
      <c r="D104" s="110"/>
      <c r="E104" s="194"/>
      <c r="F104" s="194"/>
      <c r="G104" s="131"/>
      <c r="H104" s="131"/>
      <c r="I104" s="40"/>
      <c r="J104" s="40"/>
      <c r="K104" s="25"/>
      <c r="L104" s="130"/>
    </row>
    <row r="105" spans="1:12">
      <c r="A105" s="26"/>
      <c r="B105" s="159"/>
      <c r="C105" s="114"/>
      <c r="D105" s="110"/>
      <c r="E105" s="194"/>
      <c r="F105" s="194"/>
      <c r="G105" s="131"/>
      <c r="H105" s="131"/>
      <c r="I105" s="40"/>
      <c r="J105" s="40"/>
      <c r="K105" s="25"/>
      <c r="L105" s="130"/>
    </row>
    <row r="106" spans="1:12">
      <c r="A106" s="26"/>
      <c r="B106" s="159"/>
      <c r="C106" s="114"/>
      <c r="D106" s="110"/>
      <c r="E106" s="194"/>
      <c r="F106" s="194"/>
      <c r="G106" s="131"/>
      <c r="H106" s="111"/>
      <c r="I106" s="40"/>
      <c r="J106" s="40"/>
      <c r="K106" s="25"/>
      <c r="L106" s="130"/>
    </row>
    <row r="107" spans="1:12">
      <c r="A107" s="172"/>
      <c r="B107" s="173"/>
      <c r="C107" s="173"/>
      <c r="D107" s="172"/>
      <c r="E107" s="174"/>
      <c r="F107" s="174"/>
      <c r="G107" s="174"/>
      <c r="H107" s="174"/>
      <c r="I107" s="172"/>
      <c r="J107" s="175"/>
      <c r="K107" s="175"/>
      <c r="L107" s="176"/>
    </row>
    <row r="108" spans="1:12">
      <c r="A108" s="26"/>
      <c r="B108" s="150"/>
      <c r="C108" s="27"/>
      <c r="D108" s="110"/>
      <c r="E108" s="111"/>
      <c r="F108" s="111"/>
      <c r="G108" s="111"/>
      <c r="H108" s="111"/>
      <c r="I108" s="40"/>
      <c r="J108" s="40"/>
      <c r="K108" s="25"/>
      <c r="L108" s="130"/>
    </row>
    <row r="109" spans="1:12">
      <c r="A109" s="172"/>
      <c r="B109" s="173"/>
      <c r="C109" s="173"/>
      <c r="D109" s="172"/>
      <c r="E109" s="174"/>
      <c r="F109" s="174"/>
      <c r="G109" s="174"/>
      <c r="H109" s="174"/>
      <c r="I109" s="172"/>
      <c r="J109" s="175"/>
      <c r="K109" s="175"/>
      <c r="L109" s="176"/>
    </row>
    <row r="110" spans="1:12">
      <c r="A110" s="26"/>
      <c r="B110" s="150"/>
      <c r="C110" s="27"/>
      <c r="D110" s="110"/>
      <c r="E110" s="111"/>
      <c r="F110" s="111"/>
      <c r="G110" s="111"/>
      <c r="H110" s="111"/>
      <c r="I110" s="40"/>
      <c r="J110" s="40"/>
      <c r="K110" s="25"/>
      <c r="L110" s="130"/>
    </row>
    <row r="111" spans="1:12">
      <c r="A111" s="143"/>
      <c r="B111" s="144"/>
      <c r="C111" s="145"/>
      <c r="D111" s="143"/>
      <c r="E111" s="143"/>
      <c r="F111" s="143"/>
      <c r="G111" s="149"/>
      <c r="H111" s="149"/>
      <c r="I111" s="143"/>
      <c r="J111" s="146"/>
      <c r="K111" s="146"/>
      <c r="L111" s="147"/>
    </row>
    <row r="112" spans="1:12">
      <c r="A112" s="26"/>
      <c r="B112" s="159"/>
      <c r="C112" s="114"/>
      <c r="D112" s="110"/>
      <c r="E112" s="111"/>
      <c r="F112" s="111"/>
      <c r="G112" s="111"/>
      <c r="H112" s="111"/>
      <c r="I112" s="40"/>
      <c r="J112" s="40"/>
      <c r="K112" s="25"/>
      <c r="L112" s="130"/>
    </row>
    <row r="113" spans="1:12">
      <c r="A113" s="26"/>
      <c r="B113" s="159"/>
      <c r="C113" s="114"/>
      <c r="D113" s="110"/>
      <c r="E113" s="111"/>
      <c r="F113" s="111"/>
      <c r="G113" s="111"/>
      <c r="H113" s="111"/>
      <c r="I113" s="40"/>
      <c r="J113" s="40"/>
      <c r="K113" s="25"/>
      <c r="L113" s="130"/>
    </row>
    <row r="114" spans="1:12">
      <c r="A114" s="26"/>
      <c r="B114" s="159"/>
      <c r="C114" s="114"/>
      <c r="D114" s="110"/>
      <c r="E114" s="111"/>
      <c r="F114" s="111"/>
      <c r="G114" s="111"/>
      <c r="H114" s="111"/>
      <c r="I114" s="40"/>
      <c r="J114" s="40"/>
      <c r="K114" s="25"/>
      <c r="L114" s="130"/>
    </row>
    <row r="115" spans="1:12">
      <c r="A115" s="26"/>
      <c r="B115" s="159"/>
      <c r="C115" s="114"/>
      <c r="D115" s="110"/>
      <c r="E115" s="111"/>
      <c r="F115" s="111"/>
      <c r="G115" s="111"/>
      <c r="H115" s="111"/>
      <c r="I115" s="40"/>
      <c r="J115" s="40"/>
      <c r="K115" s="25"/>
      <c r="L115" s="130"/>
    </row>
    <row r="116" spans="1:12">
      <c r="A116" s="143"/>
      <c r="B116" s="144"/>
      <c r="C116" s="145"/>
      <c r="D116" s="143"/>
      <c r="E116" s="149"/>
      <c r="F116" s="149"/>
      <c r="G116" s="149"/>
      <c r="H116" s="149"/>
      <c r="I116" s="143"/>
      <c r="J116" s="146"/>
      <c r="K116" s="146"/>
      <c r="L116" s="147"/>
    </row>
    <row r="117" spans="1:12">
      <c r="A117" s="26"/>
      <c r="B117" s="152"/>
      <c r="C117" s="27"/>
      <c r="D117" s="110"/>
      <c r="E117" s="111"/>
      <c r="F117" s="111"/>
      <c r="G117" s="111"/>
      <c r="H117" s="111"/>
      <c r="I117" s="40"/>
      <c r="J117" s="40"/>
      <c r="K117" s="25"/>
      <c r="L117" s="130"/>
    </row>
    <row r="118" spans="1:12">
      <c r="A118" s="26"/>
      <c r="B118" s="195"/>
      <c r="C118" s="27"/>
      <c r="D118" s="110"/>
      <c r="E118" s="111"/>
      <c r="F118" s="111"/>
      <c r="G118" s="111"/>
      <c r="H118" s="111"/>
      <c r="I118" s="40"/>
      <c r="J118" s="40"/>
      <c r="K118" s="25"/>
      <c r="L118" s="130"/>
    </row>
    <row r="119" spans="1:12">
      <c r="A119" s="26"/>
      <c r="B119" s="195"/>
      <c r="C119" s="27"/>
      <c r="D119" s="110"/>
      <c r="E119" s="111"/>
      <c r="F119" s="111"/>
      <c r="G119" s="111"/>
      <c r="H119" s="111"/>
      <c r="I119" s="40"/>
      <c r="J119" s="40"/>
      <c r="K119" s="25"/>
      <c r="L119" s="130"/>
    </row>
    <row r="120" spans="1:12">
      <c r="A120" s="143"/>
      <c r="B120" s="144"/>
      <c r="C120" s="145"/>
      <c r="D120" s="143"/>
      <c r="E120" s="143"/>
      <c r="F120" s="143"/>
      <c r="G120" s="149"/>
      <c r="H120" s="149"/>
      <c r="I120" s="143"/>
      <c r="J120" s="146"/>
      <c r="K120" s="146"/>
      <c r="L120" s="147"/>
    </row>
    <row r="121" spans="1:12">
      <c r="A121" s="26"/>
      <c r="B121" s="159"/>
      <c r="C121" s="27"/>
      <c r="D121" s="110"/>
      <c r="E121" s="111"/>
      <c r="F121" s="196"/>
      <c r="G121" s="111"/>
      <c r="H121" s="111"/>
      <c r="I121" s="40"/>
      <c r="J121" s="40"/>
      <c r="K121" s="25"/>
      <c r="L121" s="130"/>
    </row>
    <row r="122" spans="1:12">
      <c r="A122" s="26"/>
      <c r="B122" s="159"/>
      <c r="C122" s="27"/>
      <c r="D122" s="110"/>
      <c r="E122" s="111"/>
      <c r="F122" s="196"/>
      <c r="G122" s="111"/>
      <c r="H122" s="111"/>
      <c r="I122" s="40"/>
      <c r="J122" s="40"/>
      <c r="K122" s="25"/>
      <c r="L122" s="130"/>
    </row>
    <row r="123" spans="1:12">
      <c r="A123" s="26"/>
      <c r="B123" s="159"/>
      <c r="C123" s="27"/>
      <c r="D123" s="110"/>
      <c r="E123" s="111"/>
      <c r="F123" s="196"/>
      <c r="G123" s="111"/>
      <c r="H123" s="111"/>
      <c r="I123" s="40"/>
      <c r="J123" s="40"/>
      <c r="K123" s="25"/>
      <c r="L123" s="130"/>
    </row>
    <row r="124" spans="1:12">
      <c r="A124" s="26"/>
      <c r="B124" s="159"/>
      <c r="C124" s="27"/>
      <c r="D124" s="110"/>
      <c r="E124" s="111"/>
      <c r="F124" s="196"/>
      <c r="G124" s="111"/>
      <c r="H124" s="111"/>
      <c r="I124" s="40"/>
      <c r="J124" s="40"/>
      <c r="K124" s="25"/>
      <c r="L124" s="130"/>
    </row>
    <row r="125" spans="1:12">
      <c r="A125" s="153"/>
      <c r="B125" s="154"/>
      <c r="C125" s="155"/>
      <c r="D125" s="153"/>
      <c r="E125" s="156"/>
      <c r="F125" s="156"/>
      <c r="G125" s="156"/>
      <c r="H125" s="156"/>
      <c r="I125" s="153"/>
      <c r="J125" s="157"/>
      <c r="K125" s="157"/>
      <c r="L125" s="147"/>
    </row>
    <row r="126" spans="1:12">
      <c r="A126" s="158"/>
      <c r="B126" s="159"/>
      <c r="C126" s="114"/>
      <c r="D126" s="110"/>
      <c r="E126" s="111"/>
      <c r="F126" s="111"/>
      <c r="G126" s="160"/>
      <c r="H126" s="160"/>
      <c r="I126" s="40"/>
      <c r="J126" s="40"/>
      <c r="K126" s="25"/>
      <c r="L126" s="130"/>
    </row>
    <row r="127" spans="1:12">
      <c r="A127" s="158"/>
      <c r="B127" s="159"/>
      <c r="C127" s="114"/>
      <c r="D127" s="110"/>
      <c r="E127" s="111"/>
      <c r="F127" s="111"/>
      <c r="G127" s="160"/>
      <c r="H127" s="160"/>
      <c r="I127" s="40"/>
      <c r="J127" s="40"/>
      <c r="K127" s="25"/>
      <c r="L127" s="130"/>
    </row>
    <row r="128" spans="1:12">
      <c r="A128" s="143"/>
      <c r="B128" s="144"/>
      <c r="C128" s="145"/>
      <c r="D128" s="143"/>
      <c r="E128" s="143"/>
      <c r="F128" s="143"/>
      <c r="G128" s="149"/>
      <c r="H128" s="149"/>
      <c r="I128" s="143"/>
      <c r="J128" s="146"/>
      <c r="K128" s="146"/>
      <c r="L128" s="147"/>
    </row>
    <row r="129" spans="1:12">
      <c r="A129" s="26"/>
      <c r="B129" s="27"/>
      <c r="C129" s="27"/>
      <c r="D129" s="110"/>
      <c r="E129" s="111"/>
      <c r="F129" s="111"/>
      <c r="G129" s="111"/>
      <c r="H129" s="111"/>
      <c r="I129" s="40"/>
      <c r="J129" s="40"/>
      <c r="K129" s="25"/>
      <c r="L129" s="130"/>
    </row>
    <row r="130" spans="1:12">
      <c r="A130" s="26"/>
      <c r="B130" s="151"/>
      <c r="C130" s="27"/>
      <c r="D130" s="110"/>
      <c r="E130" s="111"/>
      <c r="F130" s="111"/>
      <c r="G130" s="111"/>
      <c r="H130" s="111"/>
      <c r="I130" s="40"/>
      <c r="J130" s="40"/>
      <c r="K130" s="25"/>
      <c r="L130" s="130"/>
    </row>
    <row r="131" spans="1:12">
      <c r="A131" s="26"/>
      <c r="B131" s="151"/>
      <c r="C131" s="27"/>
      <c r="D131" s="110"/>
      <c r="E131" s="111"/>
      <c r="F131" s="111"/>
      <c r="G131" s="111"/>
      <c r="H131" s="111"/>
      <c r="I131" s="40"/>
      <c r="J131" s="40"/>
      <c r="K131" s="25"/>
      <c r="L131" s="130"/>
    </row>
    <row r="132" spans="1:12">
      <c r="A132" s="26"/>
      <c r="B132" s="151"/>
      <c r="C132" s="27"/>
      <c r="D132" s="110"/>
      <c r="E132" s="111"/>
      <c r="F132" s="111"/>
      <c r="G132" s="111"/>
      <c r="H132" s="111"/>
      <c r="I132" s="40"/>
      <c r="J132" s="40"/>
      <c r="K132" s="25"/>
      <c r="L132" s="130"/>
    </row>
    <row r="133" spans="1:12">
      <c r="A133" s="26"/>
      <c r="B133" s="151"/>
      <c r="C133" s="27"/>
      <c r="D133" s="110"/>
      <c r="E133" s="111"/>
      <c r="F133" s="111"/>
      <c r="G133" s="111"/>
      <c r="H133" s="111"/>
      <c r="I133" s="40"/>
      <c r="J133" s="40"/>
      <c r="K133" s="25"/>
      <c r="L133" s="130"/>
    </row>
    <row r="134" spans="1:12">
      <c r="A134" s="143"/>
      <c r="B134" s="144"/>
      <c r="C134" s="145"/>
      <c r="D134" s="143"/>
      <c r="E134" s="149"/>
      <c r="F134" s="149"/>
      <c r="G134" s="149"/>
      <c r="H134" s="149"/>
      <c r="I134" s="143"/>
      <c r="J134" s="146"/>
      <c r="K134" s="146"/>
      <c r="L134" s="147"/>
    </row>
    <row r="135" spans="1:12">
      <c r="A135" s="158"/>
      <c r="B135" s="151"/>
      <c r="C135" s="27"/>
      <c r="D135" s="110"/>
      <c r="E135" s="131"/>
      <c r="F135" s="131"/>
      <c r="G135" s="111"/>
      <c r="H135" s="111"/>
      <c r="I135" s="40"/>
      <c r="J135" s="40"/>
      <c r="K135" s="25"/>
      <c r="L135" s="130"/>
    </row>
    <row r="136" spans="1:12">
      <c r="A136" s="158"/>
      <c r="B136" s="159"/>
      <c r="C136" s="114"/>
      <c r="D136" s="110"/>
      <c r="E136" s="131"/>
      <c r="F136" s="131"/>
      <c r="G136" s="131"/>
      <c r="H136" s="131"/>
      <c r="I136" s="40"/>
      <c r="J136" s="40"/>
      <c r="K136" s="25"/>
      <c r="L136" s="130"/>
    </row>
    <row r="137" spans="1:12">
      <c r="A137" s="158"/>
      <c r="B137" s="159"/>
      <c r="C137" s="114"/>
      <c r="D137" s="110"/>
      <c r="E137" s="131"/>
      <c r="F137" s="131"/>
      <c r="G137" s="131"/>
      <c r="H137" s="131"/>
      <c r="I137" s="40"/>
      <c r="J137" s="40"/>
      <c r="K137" s="25"/>
      <c r="L137" s="130"/>
    </row>
    <row r="138" spans="1:12">
      <c r="A138" s="143"/>
      <c r="B138" s="161"/>
      <c r="C138" s="162"/>
      <c r="D138" s="163"/>
      <c r="E138" s="164"/>
      <c r="F138" s="164"/>
      <c r="G138" s="165"/>
      <c r="H138" s="165"/>
      <c r="I138" s="166"/>
      <c r="J138" s="167"/>
      <c r="K138" s="168"/>
      <c r="L138" s="169"/>
    </row>
    <row r="139" spans="1:12">
      <c r="A139" s="158"/>
      <c r="B139" s="27"/>
      <c r="C139" s="114"/>
      <c r="D139" s="110"/>
      <c r="E139" s="131"/>
      <c r="F139" s="131"/>
      <c r="G139" s="131"/>
      <c r="H139" s="131"/>
      <c r="I139" s="40"/>
      <c r="J139" s="40"/>
      <c r="K139" s="25"/>
      <c r="L139" s="130"/>
    </row>
    <row r="140" spans="1:12">
      <c r="A140" s="158"/>
      <c r="B140" s="27"/>
      <c r="C140" s="27"/>
      <c r="D140" s="110"/>
      <c r="E140" s="131"/>
      <c r="F140" s="131"/>
      <c r="G140" s="131"/>
      <c r="H140" s="160"/>
      <c r="I140" s="40"/>
      <c r="J140" s="40"/>
      <c r="K140" s="25"/>
      <c r="L140" s="130"/>
    </row>
    <row r="141" spans="1:12">
      <c r="A141" s="158"/>
      <c r="B141" s="27"/>
      <c r="C141" s="27"/>
      <c r="D141" s="110"/>
      <c r="E141" s="131"/>
      <c r="F141" s="131"/>
      <c r="G141" s="131"/>
      <c r="H141" s="160"/>
      <c r="I141" s="40"/>
      <c r="J141" s="40"/>
      <c r="K141" s="25"/>
      <c r="L141" s="130"/>
    </row>
    <row r="142" spans="1:12">
      <c r="A142" s="158"/>
      <c r="B142" s="27"/>
      <c r="C142" s="27"/>
      <c r="D142" s="110"/>
      <c r="E142" s="131"/>
      <c r="F142" s="131"/>
      <c r="G142" s="131"/>
      <c r="H142" s="160"/>
      <c r="I142" s="40"/>
      <c r="J142" s="40"/>
      <c r="K142" s="25"/>
      <c r="L142" s="130"/>
    </row>
    <row r="143" spans="1:12">
      <c r="A143" s="158"/>
      <c r="B143" s="27"/>
      <c r="C143" s="27"/>
      <c r="D143" s="110"/>
      <c r="E143" s="131"/>
      <c r="F143" s="131"/>
      <c r="G143" s="131"/>
      <c r="H143" s="160"/>
      <c r="I143" s="40"/>
      <c r="J143" s="40"/>
      <c r="K143" s="25"/>
      <c r="L143" s="130"/>
    </row>
    <row r="144" spans="1:12">
      <c r="A144" s="158"/>
      <c r="B144" s="27"/>
      <c r="C144" s="27"/>
      <c r="D144" s="110"/>
      <c r="E144" s="131"/>
      <c r="F144" s="131"/>
      <c r="G144" s="131"/>
      <c r="H144" s="160"/>
      <c r="I144" s="40"/>
      <c r="J144" s="40"/>
      <c r="K144" s="25"/>
      <c r="L144" s="130"/>
    </row>
    <row r="145" spans="1:12">
      <c r="A145" s="158"/>
      <c r="B145" s="27"/>
      <c r="C145" s="27"/>
      <c r="D145" s="110"/>
      <c r="E145" s="131"/>
      <c r="F145" s="131"/>
      <c r="G145" s="131"/>
      <c r="H145" s="160"/>
      <c r="I145" s="40"/>
      <c r="J145" s="40"/>
      <c r="K145" s="25"/>
      <c r="L145" s="130"/>
    </row>
    <row r="146" spans="1:12">
      <c r="A146" s="158"/>
      <c r="B146" s="27"/>
      <c r="C146" s="27"/>
      <c r="D146" s="110"/>
      <c r="E146" s="194"/>
      <c r="F146" s="194"/>
      <c r="G146" s="160"/>
      <c r="H146" s="160"/>
      <c r="I146" s="40"/>
      <c r="J146" s="40"/>
      <c r="K146" s="197"/>
      <c r="L146" s="130"/>
    </row>
    <row r="147" spans="1:12">
      <c r="A147" s="158"/>
      <c r="B147" s="27"/>
      <c r="C147" s="27"/>
      <c r="D147" s="110"/>
      <c r="E147" s="194"/>
      <c r="F147" s="194"/>
      <c r="G147" s="131"/>
      <c r="H147" s="131"/>
      <c r="I147" s="40"/>
      <c r="J147" s="40"/>
      <c r="K147" s="197"/>
      <c r="L147" s="130"/>
    </row>
    <row r="148" spans="1:12">
      <c r="A148" s="158"/>
      <c r="B148" s="27"/>
      <c r="C148" s="27"/>
      <c r="D148" s="110"/>
      <c r="E148" s="194"/>
      <c r="F148" s="194"/>
      <c r="G148" s="131"/>
      <c r="H148" s="131"/>
      <c r="I148" s="40"/>
      <c r="J148" s="40"/>
      <c r="K148" s="197"/>
      <c r="L148" s="130"/>
    </row>
    <row r="149" spans="1:12">
      <c r="A149" s="138"/>
      <c r="B149" s="139"/>
      <c r="C149" s="139"/>
      <c r="D149" s="138"/>
      <c r="E149" s="140"/>
      <c r="F149" s="140"/>
      <c r="G149" s="140"/>
      <c r="H149" s="140"/>
      <c r="I149" s="138"/>
      <c r="J149" s="141"/>
      <c r="K149" s="141"/>
      <c r="L149" s="142"/>
    </row>
    <row r="150" spans="1:12">
      <c r="A150" s="143"/>
      <c r="B150" s="144"/>
      <c r="C150" s="145"/>
      <c r="D150" s="143"/>
      <c r="E150" s="143"/>
      <c r="F150" s="143"/>
      <c r="G150" s="149"/>
      <c r="H150" s="149"/>
      <c r="I150" s="143"/>
      <c r="J150" s="146"/>
      <c r="K150" s="146"/>
      <c r="L150" s="147"/>
    </row>
    <row r="151" spans="1:12">
      <c r="A151" s="26"/>
      <c r="B151" s="114"/>
      <c r="C151" s="114"/>
      <c r="D151" s="110"/>
      <c r="E151" s="111"/>
      <c r="F151" s="111"/>
      <c r="G151" s="111"/>
      <c r="H151" s="111"/>
      <c r="I151" s="40"/>
      <c r="J151" s="40"/>
      <c r="K151" s="25"/>
      <c r="L151" s="130"/>
    </row>
    <row r="152" spans="1:12">
      <c r="A152" s="26"/>
      <c r="B152" s="114"/>
      <c r="C152" s="114"/>
      <c r="D152" s="110"/>
      <c r="E152" s="111"/>
      <c r="F152" s="111"/>
      <c r="G152" s="111"/>
      <c r="H152" s="111"/>
      <c r="I152" s="40"/>
      <c r="J152" s="40"/>
      <c r="K152" s="25"/>
      <c r="L152" s="130"/>
    </row>
    <row r="153" spans="1:12">
      <c r="A153" s="26"/>
      <c r="B153" s="114"/>
      <c r="C153" s="114"/>
      <c r="D153" s="110"/>
      <c r="E153" s="111"/>
      <c r="F153" s="111"/>
      <c r="G153" s="111"/>
      <c r="H153" s="111"/>
      <c r="I153" s="40"/>
      <c r="J153" s="40"/>
      <c r="K153" s="25"/>
      <c r="L153" s="130"/>
    </row>
    <row r="154" spans="1:12">
      <c r="A154" s="26"/>
      <c r="B154" s="114"/>
      <c r="C154" s="114"/>
      <c r="D154" s="110"/>
      <c r="E154" s="111"/>
      <c r="F154" s="111"/>
      <c r="G154" s="111"/>
      <c r="H154" s="111"/>
      <c r="I154" s="40"/>
      <c r="J154" s="40"/>
      <c r="K154" s="25"/>
      <c r="L154" s="130"/>
    </row>
    <row r="155" spans="1:12">
      <c r="A155" s="143"/>
      <c r="B155" s="144"/>
      <c r="C155" s="145"/>
      <c r="D155" s="143"/>
      <c r="E155" s="143"/>
      <c r="F155" s="143"/>
      <c r="G155" s="143"/>
      <c r="H155" s="143"/>
      <c r="I155" s="143"/>
      <c r="J155" s="143"/>
      <c r="K155" s="143"/>
      <c r="L155" s="147"/>
    </row>
    <row r="156" spans="1:12">
      <c r="A156" s="26"/>
      <c r="B156" s="27"/>
      <c r="C156" s="27"/>
      <c r="D156" s="110"/>
      <c r="E156" s="111"/>
      <c r="F156" s="111"/>
      <c r="G156" s="111"/>
      <c r="H156" s="111"/>
      <c r="I156" s="40"/>
      <c r="J156" s="40"/>
      <c r="K156" s="25"/>
      <c r="L156" s="130"/>
    </row>
    <row r="157" spans="1:12">
      <c r="A157" s="26"/>
      <c r="B157" s="27"/>
      <c r="C157" s="27"/>
      <c r="D157" s="110"/>
      <c r="E157" s="111"/>
      <c r="F157" s="111"/>
      <c r="G157" s="111"/>
      <c r="H157" s="111"/>
      <c r="I157" s="40"/>
      <c r="J157" s="40"/>
      <c r="K157" s="25"/>
      <c r="L157" s="130"/>
    </row>
    <row r="158" spans="1:12">
      <c r="A158" s="26"/>
      <c r="B158" s="27"/>
      <c r="C158" s="27"/>
      <c r="D158" s="110"/>
      <c r="E158" s="111"/>
      <c r="F158" s="111"/>
      <c r="G158" s="111"/>
      <c r="H158" s="111"/>
      <c r="I158" s="40"/>
      <c r="J158" s="40"/>
      <c r="K158" s="25"/>
      <c r="L158" s="130"/>
    </row>
    <row r="159" spans="1:12">
      <c r="A159" s="26"/>
      <c r="B159" s="27"/>
      <c r="C159" s="27"/>
      <c r="D159" s="110"/>
      <c r="E159" s="111"/>
      <c r="F159" s="111"/>
      <c r="G159" s="111"/>
      <c r="H159" s="111"/>
      <c r="I159" s="40"/>
      <c r="J159" s="40"/>
      <c r="K159" s="25"/>
      <c r="L159" s="130"/>
    </row>
    <row r="160" spans="1:12">
      <c r="A160" s="143"/>
      <c r="B160" s="144"/>
      <c r="C160" s="145"/>
      <c r="D160" s="143"/>
      <c r="E160" s="143"/>
      <c r="F160" s="143"/>
      <c r="G160" s="149"/>
      <c r="H160" s="149"/>
      <c r="I160" s="143"/>
      <c r="J160" s="146"/>
      <c r="K160" s="146"/>
      <c r="L160" s="147"/>
    </row>
    <row r="161" spans="1:12">
      <c r="A161" s="26"/>
      <c r="B161" s="27"/>
      <c r="C161" s="27"/>
      <c r="D161" s="110"/>
      <c r="E161" s="131"/>
      <c r="F161" s="131"/>
      <c r="G161" s="131"/>
      <c r="H161" s="171"/>
      <c r="I161" s="40"/>
      <c r="J161" s="40"/>
      <c r="K161" s="25"/>
      <c r="L161" s="130"/>
    </row>
    <row r="162" spans="1:12">
      <c r="A162" s="26"/>
      <c r="B162" s="27"/>
      <c r="C162" s="27"/>
      <c r="D162" s="110"/>
      <c r="E162" s="131"/>
      <c r="F162" s="131"/>
      <c r="G162" s="111"/>
      <c r="H162" s="111"/>
      <c r="I162" s="26"/>
      <c r="J162" s="40"/>
      <c r="K162" s="25"/>
      <c r="L162" s="130"/>
    </row>
    <row r="163" spans="1:12">
      <c r="A163" s="26"/>
      <c r="B163" s="27"/>
      <c r="C163" s="27"/>
      <c r="D163" s="110"/>
      <c r="E163" s="131"/>
      <c r="F163" s="131"/>
      <c r="G163" s="111"/>
      <c r="H163" s="111"/>
      <c r="I163" s="26"/>
      <c r="J163" s="40"/>
      <c r="K163" s="25"/>
      <c r="L163" s="130"/>
    </row>
    <row r="164" spans="1:12">
      <c r="A164" s="26"/>
      <c r="B164" s="27"/>
      <c r="C164" s="27"/>
      <c r="D164" s="110"/>
      <c r="E164" s="131"/>
      <c r="F164" s="131"/>
      <c r="G164" s="111"/>
      <c r="H164" s="111"/>
      <c r="I164" s="26"/>
      <c r="J164" s="40"/>
      <c r="K164" s="25"/>
      <c r="L164" s="130"/>
    </row>
    <row r="165" spans="1:12">
      <c r="A165" s="143"/>
      <c r="B165" s="144"/>
      <c r="C165" s="145"/>
      <c r="D165" s="143"/>
      <c r="E165" s="149"/>
      <c r="F165" s="149"/>
      <c r="G165" s="149"/>
      <c r="H165" s="149"/>
      <c r="I165" s="143"/>
      <c r="J165" s="146"/>
      <c r="K165" s="146"/>
      <c r="L165" s="147"/>
    </row>
    <row r="166" spans="1:12">
      <c r="A166" s="26"/>
      <c r="B166" s="26"/>
      <c r="C166" s="27"/>
      <c r="D166" s="110"/>
      <c r="E166" s="111"/>
      <c r="F166" s="111"/>
      <c r="G166" s="111"/>
      <c r="H166" s="171"/>
      <c r="I166" s="40"/>
      <c r="J166" s="40"/>
      <c r="K166" s="25"/>
      <c r="L166" s="130"/>
    </row>
    <row r="167" spans="1:12">
      <c r="A167" s="26"/>
      <c r="B167" s="26"/>
      <c r="C167" s="27"/>
      <c r="D167" s="110"/>
      <c r="E167" s="111"/>
      <c r="F167" s="111"/>
      <c r="G167" s="111"/>
      <c r="H167" s="111"/>
      <c r="I167" s="40"/>
      <c r="J167" s="40"/>
      <c r="K167" s="25"/>
      <c r="L167" s="130"/>
    </row>
    <row r="168" spans="1:12">
      <c r="A168" s="26"/>
      <c r="B168" s="26"/>
      <c r="C168" s="27"/>
      <c r="D168" s="110"/>
      <c r="E168" s="111"/>
      <c r="F168" s="111"/>
      <c r="G168" s="111"/>
      <c r="H168" s="111"/>
      <c r="I168" s="40"/>
      <c r="J168" s="40"/>
      <c r="K168" s="25"/>
      <c r="L168" s="130"/>
    </row>
    <row r="169" spans="1:12">
      <c r="A169" s="26"/>
      <c r="B169" s="26"/>
      <c r="C169" s="27"/>
      <c r="D169" s="110"/>
      <c r="E169" s="111"/>
      <c r="F169" s="111"/>
      <c r="G169" s="111"/>
      <c r="H169" s="111"/>
      <c r="I169" s="40"/>
      <c r="J169" s="40"/>
      <c r="K169" s="25"/>
      <c r="L169" s="130"/>
    </row>
    <row r="170" spans="1:12">
      <c r="A170" s="26"/>
      <c r="B170" s="26"/>
      <c r="C170" s="27"/>
      <c r="D170" s="110"/>
      <c r="E170" s="111"/>
      <c r="F170" s="111"/>
      <c r="G170" s="111"/>
      <c r="H170" s="111"/>
      <c r="I170" s="40"/>
      <c r="J170" s="40"/>
      <c r="K170" s="25"/>
      <c r="L170" s="130"/>
    </row>
    <row r="171" spans="1:12">
      <c r="A171" s="26"/>
      <c r="B171" s="26"/>
      <c r="C171" s="27"/>
      <c r="D171" s="110"/>
      <c r="E171" s="111"/>
      <c r="F171" s="111"/>
      <c r="G171" s="111"/>
      <c r="H171" s="111"/>
      <c r="I171" s="40"/>
      <c r="J171" s="40"/>
      <c r="K171" s="25"/>
      <c r="L171" s="130"/>
    </row>
    <row r="172" spans="1:12">
      <c r="A172" s="26"/>
      <c r="B172" s="26"/>
      <c r="C172" s="27"/>
      <c r="D172" s="110"/>
      <c r="E172" s="111"/>
      <c r="F172" s="111"/>
      <c r="G172" s="111"/>
      <c r="H172" s="111"/>
      <c r="I172" s="40"/>
      <c r="J172" s="40"/>
      <c r="K172" s="25"/>
      <c r="L172" s="130"/>
    </row>
    <row r="173" spans="1:12">
      <c r="A173" s="26"/>
      <c r="B173" s="26"/>
      <c r="C173" s="27"/>
      <c r="D173" s="110"/>
      <c r="E173" s="111"/>
      <c r="F173" s="111"/>
      <c r="G173" s="111"/>
      <c r="H173" s="111"/>
      <c r="I173" s="40"/>
      <c r="J173" s="40"/>
      <c r="K173" s="25"/>
      <c r="L173" s="130"/>
    </row>
    <row r="174" spans="1:12">
      <c r="A174" s="143"/>
      <c r="B174" s="144"/>
      <c r="C174" s="145"/>
      <c r="D174" s="143"/>
      <c r="E174" s="149"/>
      <c r="F174" s="149"/>
      <c r="G174" s="149"/>
      <c r="H174" s="149"/>
      <c r="I174" s="143"/>
      <c r="J174" s="146"/>
      <c r="K174" s="146"/>
      <c r="L174" s="147"/>
    </row>
    <row r="175" spans="1:12">
      <c r="A175" s="26"/>
      <c r="B175" s="158"/>
      <c r="C175" s="27"/>
      <c r="D175" s="110"/>
      <c r="E175" s="111"/>
      <c r="F175" s="111"/>
      <c r="G175" s="111"/>
      <c r="H175" s="111"/>
      <c r="I175" s="40"/>
      <c r="J175" s="40"/>
      <c r="K175" s="25"/>
      <c r="L175" s="130"/>
    </row>
    <row r="176" spans="1:12">
      <c r="A176" s="26"/>
      <c r="B176" s="158"/>
      <c r="C176" s="27"/>
      <c r="D176" s="110"/>
      <c r="E176" s="111"/>
      <c r="F176" s="111"/>
      <c r="G176" s="111"/>
      <c r="H176" s="111"/>
      <c r="I176" s="40"/>
      <c r="J176" s="40"/>
      <c r="K176" s="25"/>
      <c r="L176" s="130"/>
    </row>
    <row r="177" spans="1:12">
      <c r="A177" s="26"/>
      <c r="B177" s="158"/>
      <c r="C177" s="27"/>
      <c r="D177" s="110"/>
      <c r="E177" s="111"/>
      <c r="F177" s="111"/>
      <c r="G177" s="111"/>
      <c r="H177" s="111"/>
      <c r="I177" s="40"/>
      <c r="J177" s="40"/>
      <c r="K177" s="25"/>
      <c r="L177" s="130"/>
    </row>
    <row r="178" spans="1:12">
      <c r="A178" s="26"/>
      <c r="B178" s="26"/>
      <c r="C178" s="27"/>
      <c r="D178" s="110"/>
      <c r="E178" s="111"/>
      <c r="F178" s="111"/>
      <c r="G178" s="111"/>
      <c r="H178" s="111"/>
      <c r="I178" s="40"/>
      <c r="J178" s="40"/>
      <c r="K178" s="25"/>
      <c r="L178" s="130"/>
    </row>
    <row r="179" spans="1:12">
      <c r="A179" s="26"/>
      <c r="B179" s="26"/>
      <c r="C179" s="27"/>
      <c r="D179" s="110"/>
      <c r="E179" s="111"/>
      <c r="F179" s="111"/>
      <c r="G179" s="111"/>
      <c r="H179" s="111"/>
      <c r="I179" s="40"/>
      <c r="J179" s="40"/>
      <c r="K179" s="25"/>
      <c r="L179" s="130"/>
    </row>
    <row r="180" spans="1:12">
      <c r="A180" s="143"/>
      <c r="B180" s="144"/>
      <c r="C180" s="145"/>
      <c r="D180" s="143"/>
      <c r="E180" s="149"/>
      <c r="F180" s="149"/>
      <c r="G180" s="149"/>
      <c r="H180" s="149"/>
      <c r="I180" s="143"/>
      <c r="J180" s="146"/>
      <c r="K180" s="146"/>
      <c r="L180" s="147"/>
    </row>
    <row r="181" spans="1:12">
      <c r="A181" s="172"/>
      <c r="B181" s="173"/>
      <c r="C181" s="173"/>
      <c r="D181" s="172"/>
      <c r="E181" s="174"/>
      <c r="F181" s="174"/>
      <c r="G181" s="174"/>
      <c r="H181" s="174"/>
      <c r="I181" s="172"/>
      <c r="J181" s="175"/>
      <c r="K181" s="175"/>
      <c r="L181" s="176"/>
    </row>
    <row r="182" spans="1:12">
      <c r="A182" s="26"/>
      <c r="B182" s="114"/>
      <c r="C182" s="114"/>
      <c r="D182" s="110"/>
      <c r="E182" s="171"/>
      <c r="F182" s="171"/>
      <c r="G182" s="171"/>
      <c r="H182" s="171"/>
      <c r="I182" s="40"/>
      <c r="J182" s="40"/>
      <c r="K182" s="25"/>
      <c r="L182" s="130"/>
    </row>
    <row r="183" spans="1:12">
      <c r="A183" s="26"/>
      <c r="B183" s="114"/>
      <c r="C183" s="114"/>
      <c r="D183" s="110"/>
      <c r="E183" s="171"/>
      <c r="F183" s="171"/>
      <c r="G183" s="171"/>
      <c r="H183" s="171"/>
      <c r="I183" s="40"/>
      <c r="J183" s="40"/>
      <c r="K183" s="25"/>
      <c r="L183" s="130"/>
    </row>
    <row r="184" spans="1:12">
      <c r="A184" s="26"/>
      <c r="B184" s="114"/>
      <c r="C184" s="114"/>
      <c r="D184" s="110"/>
      <c r="E184" s="171"/>
      <c r="F184" s="171"/>
      <c r="G184" s="171"/>
      <c r="H184" s="171"/>
      <c r="I184" s="40"/>
      <c r="J184" s="40"/>
      <c r="K184" s="25"/>
      <c r="L184" s="130"/>
    </row>
    <row r="185" spans="1:12">
      <c r="A185" s="26"/>
      <c r="B185" s="114"/>
      <c r="C185" s="114"/>
      <c r="D185" s="110"/>
      <c r="E185" s="171"/>
      <c r="F185" s="171"/>
      <c r="G185" s="171"/>
      <c r="H185" s="171"/>
      <c r="I185" s="40"/>
      <c r="J185" s="40"/>
      <c r="K185" s="25"/>
      <c r="L185" s="130"/>
    </row>
    <row r="186" spans="1:12">
      <c r="A186" s="198"/>
      <c r="B186" s="199"/>
      <c r="C186" s="199"/>
      <c r="D186" s="198"/>
      <c r="E186" s="200"/>
      <c r="F186" s="200"/>
      <c r="G186" s="200"/>
      <c r="H186" s="200"/>
      <c r="I186" s="198"/>
      <c r="J186" s="201"/>
      <c r="K186" s="201"/>
      <c r="L186" s="176"/>
    </row>
    <row r="187" spans="1:12">
      <c r="A187" s="189"/>
      <c r="B187" s="190"/>
      <c r="C187" s="190"/>
      <c r="D187" s="192"/>
      <c r="E187" s="202"/>
      <c r="F187" s="202"/>
      <c r="G187" s="202"/>
      <c r="H187" s="202"/>
      <c r="I187" s="203"/>
      <c r="J187" s="203"/>
      <c r="K187" s="204"/>
      <c r="L187" s="130"/>
    </row>
    <row r="188" spans="1:12">
      <c r="A188" s="189"/>
      <c r="B188" s="190"/>
      <c r="C188" s="190"/>
      <c r="D188" s="192"/>
      <c r="E188" s="202"/>
      <c r="F188" s="202"/>
      <c r="G188" s="202"/>
      <c r="H188" s="202"/>
      <c r="I188" s="203"/>
      <c r="J188" s="203"/>
      <c r="K188" s="204"/>
      <c r="L188" s="130"/>
    </row>
    <row r="189" spans="1:12">
      <c r="A189" s="189"/>
      <c r="B189" s="190"/>
      <c r="C189" s="190"/>
      <c r="D189" s="192"/>
      <c r="E189" s="202"/>
      <c r="F189" s="202"/>
      <c r="G189" s="202"/>
      <c r="H189" s="202"/>
      <c r="I189" s="203"/>
      <c r="J189" s="203"/>
      <c r="K189" s="204"/>
      <c r="L189" s="130"/>
    </row>
    <row r="190" spans="1:12">
      <c r="A190" s="189"/>
      <c r="B190" s="190"/>
      <c r="C190" s="190"/>
      <c r="D190" s="192"/>
      <c r="E190" s="202"/>
      <c r="F190" s="202"/>
      <c r="G190" s="202"/>
      <c r="H190" s="202"/>
      <c r="I190" s="203"/>
      <c r="J190" s="203"/>
      <c r="K190" s="204"/>
      <c r="L190" s="130"/>
    </row>
    <row r="191" spans="1:12">
      <c r="A191" s="205"/>
      <c r="B191" s="199"/>
      <c r="C191" s="199"/>
      <c r="D191" s="198"/>
      <c r="E191" s="200"/>
      <c r="F191" s="200"/>
      <c r="G191" s="206"/>
      <c r="H191" s="206"/>
      <c r="I191" s="207"/>
      <c r="J191" s="207"/>
      <c r="K191" s="208"/>
      <c r="L191" s="209"/>
    </row>
    <row r="192" spans="1:12">
      <c r="A192" s="189"/>
      <c r="B192" s="191"/>
      <c r="C192" s="191"/>
      <c r="D192" s="192"/>
      <c r="E192" s="202"/>
      <c r="F192" s="202"/>
      <c r="G192" s="202"/>
      <c r="H192" s="194"/>
      <c r="I192" s="203"/>
      <c r="J192" s="203"/>
      <c r="K192" s="204"/>
      <c r="L192" s="130"/>
    </row>
    <row r="193" spans="1:12">
      <c r="A193" s="189"/>
      <c r="B193" s="191"/>
      <c r="C193" s="191"/>
      <c r="D193" s="192"/>
      <c r="E193" s="202"/>
      <c r="F193" s="202"/>
      <c r="G193" s="194"/>
      <c r="H193" s="194"/>
      <c r="I193" s="203"/>
      <c r="J193" s="203"/>
      <c r="K193" s="204"/>
      <c r="L193" s="130"/>
    </row>
    <row r="194" spans="1:12">
      <c r="A194" s="189"/>
      <c r="B194" s="191"/>
      <c r="C194" s="191"/>
      <c r="D194" s="192"/>
      <c r="E194" s="202"/>
      <c r="F194" s="202"/>
      <c r="G194" s="194"/>
      <c r="H194" s="194"/>
      <c r="I194" s="203"/>
      <c r="J194" s="203"/>
      <c r="K194" s="204"/>
      <c r="L194" s="130"/>
    </row>
    <row r="195" spans="1:12">
      <c r="A195" s="189"/>
      <c r="B195" s="191"/>
      <c r="C195" s="191"/>
      <c r="D195" s="192"/>
      <c r="E195" s="202"/>
      <c r="F195" s="202"/>
      <c r="G195" s="194"/>
      <c r="H195" s="194"/>
      <c r="I195" s="203"/>
      <c r="J195" s="203"/>
      <c r="K195" s="204"/>
      <c r="L195" s="130"/>
    </row>
    <row r="196" spans="1:12">
      <c r="A196" s="205"/>
      <c r="B196" s="210"/>
      <c r="C196" s="210"/>
      <c r="D196" s="205"/>
      <c r="E196" s="211"/>
      <c r="F196" s="211"/>
      <c r="G196" s="206"/>
      <c r="H196" s="206"/>
      <c r="I196" s="207"/>
      <c r="J196" s="207"/>
      <c r="K196" s="208"/>
      <c r="L196" s="209"/>
    </row>
    <row r="197" spans="1:12">
      <c r="A197" s="189"/>
      <c r="B197" s="191"/>
      <c r="C197" s="191"/>
      <c r="D197" s="192"/>
      <c r="E197" s="202"/>
      <c r="F197" s="202"/>
      <c r="G197" s="202"/>
      <c r="H197" s="194"/>
      <c r="I197" s="203"/>
      <c r="J197" s="203"/>
      <c r="K197" s="204"/>
      <c r="L197" s="130"/>
    </row>
    <row r="198" spans="1:12">
      <c r="A198" s="189"/>
      <c r="B198" s="191"/>
      <c r="C198" s="191"/>
      <c r="D198" s="192"/>
      <c r="E198" s="202"/>
      <c r="F198" s="202"/>
      <c r="G198" s="194"/>
      <c r="H198" s="194"/>
      <c r="I198" s="203"/>
      <c r="J198" s="203"/>
      <c r="K198" s="204"/>
      <c r="L198" s="130"/>
    </row>
    <row r="199" spans="1:12">
      <c r="A199" s="189"/>
      <c r="B199" s="191"/>
      <c r="C199" s="191"/>
      <c r="D199" s="192"/>
      <c r="E199" s="202"/>
      <c r="F199" s="202"/>
      <c r="G199" s="194"/>
      <c r="H199" s="194"/>
      <c r="I199" s="203"/>
      <c r="J199" s="203"/>
      <c r="K199" s="204"/>
      <c r="L199" s="130"/>
    </row>
    <row r="200" spans="1:12">
      <c r="A200" s="189"/>
      <c r="B200" s="191"/>
      <c r="C200" s="191"/>
      <c r="D200" s="192"/>
      <c r="E200" s="202"/>
      <c r="F200" s="202"/>
      <c r="G200" s="194"/>
      <c r="H200" s="194"/>
      <c r="I200" s="203"/>
      <c r="J200" s="203"/>
      <c r="K200" s="204"/>
      <c r="L200" s="130"/>
    </row>
    <row r="201" spans="1:12">
      <c r="A201" s="198"/>
      <c r="B201" s="199"/>
      <c r="C201" s="199"/>
      <c r="D201" s="198"/>
      <c r="E201" s="200"/>
      <c r="F201" s="200"/>
      <c r="G201" s="200"/>
      <c r="H201" s="200"/>
      <c r="I201" s="198"/>
      <c r="J201" s="201"/>
      <c r="K201" s="201"/>
      <c r="L201" s="176"/>
    </row>
    <row r="202" spans="1:12">
      <c r="A202" s="189"/>
      <c r="B202" s="190"/>
      <c r="C202" s="190"/>
      <c r="D202" s="192"/>
      <c r="E202" s="202"/>
      <c r="F202" s="202"/>
      <c r="G202" s="202"/>
      <c r="H202" s="202"/>
      <c r="I202" s="189"/>
      <c r="J202" s="203"/>
      <c r="K202" s="204"/>
      <c r="L202" s="130"/>
    </row>
    <row r="203" spans="1:12">
      <c r="A203" s="189"/>
      <c r="B203" s="190"/>
      <c r="C203" s="190"/>
      <c r="D203" s="192"/>
      <c r="E203" s="202"/>
      <c r="F203" s="202"/>
      <c r="G203" s="202"/>
      <c r="H203" s="202"/>
      <c r="I203" s="189"/>
      <c r="J203" s="203"/>
      <c r="K203" s="204"/>
      <c r="L203" s="130"/>
    </row>
    <row r="204" spans="1:12">
      <c r="A204" s="189"/>
      <c r="B204" s="190"/>
      <c r="C204" s="190"/>
      <c r="D204" s="192"/>
      <c r="E204" s="202"/>
      <c r="F204" s="202"/>
      <c r="G204" s="202"/>
      <c r="H204" s="202"/>
      <c r="I204" s="189"/>
      <c r="J204" s="203"/>
      <c r="K204" s="204"/>
      <c r="L204" s="130"/>
    </row>
    <row r="205" spans="1:12">
      <c r="A205" s="189"/>
      <c r="B205" s="190"/>
      <c r="C205" s="190"/>
      <c r="D205" s="192"/>
      <c r="E205" s="202"/>
      <c r="F205" s="202"/>
      <c r="G205" s="202"/>
      <c r="H205" s="202"/>
      <c r="I205" s="189"/>
      <c r="J205" s="203"/>
      <c r="K205" s="204"/>
      <c r="L205" s="130"/>
    </row>
    <row r="206" spans="1:12">
      <c r="A206" s="172"/>
      <c r="B206" s="173"/>
      <c r="C206" s="173"/>
      <c r="D206" s="172"/>
      <c r="E206" s="174"/>
      <c r="F206" s="174"/>
      <c r="G206" s="174"/>
      <c r="H206" s="174"/>
      <c r="I206" s="172"/>
      <c r="J206" s="175"/>
      <c r="K206" s="175"/>
      <c r="L206" s="176"/>
    </row>
    <row r="207" spans="1:12">
      <c r="A207" s="26"/>
      <c r="B207" s="27"/>
      <c r="C207" s="27"/>
      <c r="D207" s="110"/>
      <c r="E207" s="171"/>
      <c r="F207" s="171"/>
      <c r="G207" s="171"/>
      <c r="H207" s="181"/>
      <c r="I207" s="40"/>
      <c r="J207" s="40"/>
      <c r="K207" s="25"/>
      <c r="L207" s="130"/>
    </row>
    <row r="208" spans="1:12">
      <c r="A208" s="26"/>
      <c r="B208" s="27"/>
      <c r="C208" s="27"/>
      <c r="D208" s="110"/>
      <c r="E208" s="171"/>
      <c r="F208" s="171"/>
      <c r="G208" s="181"/>
      <c r="H208" s="181"/>
      <c r="I208" s="40"/>
      <c r="J208" s="40"/>
      <c r="K208" s="25"/>
      <c r="L208" s="130"/>
    </row>
    <row r="209" spans="1:12">
      <c r="A209" s="26"/>
      <c r="B209" s="27"/>
      <c r="C209" s="27"/>
      <c r="D209" s="110"/>
      <c r="E209" s="171"/>
      <c r="F209" s="171"/>
      <c r="G209" s="181"/>
      <c r="H209" s="181"/>
      <c r="I209" s="40"/>
      <c r="J209" s="40"/>
      <c r="K209" s="25"/>
      <c r="L209" s="130"/>
    </row>
    <row r="210" spans="1:12">
      <c r="A210" s="26"/>
      <c r="B210" s="27"/>
      <c r="C210" s="27"/>
      <c r="D210" s="110"/>
      <c r="E210" s="171"/>
      <c r="F210" s="171"/>
      <c r="G210" s="181"/>
      <c r="H210" s="181"/>
      <c r="I210" s="40"/>
      <c r="J210" s="40"/>
      <c r="K210" s="25"/>
      <c r="L210" s="130"/>
    </row>
    <row r="211" spans="1:12">
      <c r="A211" s="198"/>
      <c r="B211" s="199"/>
      <c r="C211" s="199"/>
      <c r="D211" s="198"/>
      <c r="E211" s="200"/>
      <c r="F211" s="200"/>
      <c r="G211" s="200"/>
      <c r="H211" s="200"/>
      <c r="I211" s="198"/>
      <c r="J211" s="201"/>
      <c r="K211" s="201"/>
      <c r="L211" s="176"/>
    </row>
    <row r="212" spans="1:12">
      <c r="A212" s="189"/>
      <c r="B212" s="191"/>
      <c r="C212" s="191"/>
      <c r="D212" s="192"/>
      <c r="E212" s="202"/>
      <c r="F212" s="202"/>
      <c r="G212" s="202"/>
      <c r="H212" s="202"/>
      <c r="I212" s="203"/>
      <c r="J212" s="203"/>
      <c r="K212" s="204"/>
      <c r="L212" s="130"/>
    </row>
    <row r="213" spans="1:12">
      <c r="A213" s="189"/>
      <c r="B213" s="191"/>
      <c r="C213" s="191"/>
      <c r="D213" s="192"/>
      <c r="E213" s="202"/>
      <c r="F213" s="202"/>
      <c r="G213" s="202"/>
      <c r="H213" s="202"/>
      <c r="I213" s="203"/>
      <c r="J213" s="203"/>
      <c r="K213" s="204"/>
      <c r="L213" s="130"/>
    </row>
    <row r="214" spans="1:12">
      <c r="A214" s="189"/>
      <c r="B214" s="191"/>
      <c r="C214" s="191"/>
      <c r="D214" s="192"/>
      <c r="E214" s="202"/>
      <c r="F214" s="202"/>
      <c r="G214" s="202"/>
      <c r="H214" s="202"/>
      <c r="I214" s="203"/>
      <c r="J214" s="203"/>
      <c r="K214" s="204"/>
      <c r="L214" s="130"/>
    </row>
    <row r="215" spans="1:12">
      <c r="A215" s="189"/>
      <c r="B215" s="191"/>
      <c r="C215" s="191"/>
      <c r="D215" s="192"/>
      <c r="E215" s="202"/>
      <c r="F215" s="202"/>
      <c r="G215" s="193"/>
      <c r="H215" s="193"/>
      <c r="I215" s="203"/>
      <c r="J215" s="203"/>
      <c r="K215" s="204"/>
      <c r="L215" s="130"/>
    </row>
    <row r="216" spans="1:12">
      <c r="A216" s="172"/>
      <c r="B216" s="173"/>
      <c r="C216" s="173"/>
      <c r="D216" s="172"/>
      <c r="E216" s="174"/>
      <c r="F216" s="174"/>
      <c r="G216" s="174"/>
      <c r="H216" s="174"/>
      <c r="I216" s="172"/>
      <c r="J216" s="175"/>
      <c r="K216" s="175"/>
      <c r="L216" s="176"/>
    </row>
    <row r="217" spans="1:12">
      <c r="A217" s="26"/>
      <c r="B217" s="114"/>
      <c r="C217" s="114"/>
      <c r="D217" s="110"/>
      <c r="E217" s="171"/>
      <c r="F217" s="171"/>
      <c r="G217" s="171"/>
      <c r="H217" s="171"/>
      <c r="I217" s="40"/>
      <c r="J217" s="40"/>
      <c r="K217" s="25"/>
      <c r="L217" s="130"/>
    </row>
    <row r="218" spans="1:12">
      <c r="A218" s="26"/>
      <c r="B218" s="114"/>
      <c r="C218" s="114"/>
      <c r="D218" s="110"/>
      <c r="E218" s="171"/>
      <c r="F218" s="171"/>
      <c r="G218" s="171"/>
      <c r="H218" s="171"/>
      <c r="I218" s="40"/>
      <c r="J218" s="40"/>
      <c r="K218" s="25"/>
      <c r="L218" s="130"/>
    </row>
    <row r="219" spans="1:12">
      <c r="A219" s="26"/>
      <c r="B219" s="114"/>
      <c r="C219" s="114"/>
      <c r="D219" s="110"/>
      <c r="E219" s="171"/>
      <c r="F219" s="171"/>
      <c r="G219" s="171"/>
      <c r="H219" s="171"/>
      <c r="I219" s="40"/>
      <c r="J219" s="40"/>
      <c r="K219" s="25"/>
      <c r="L219" s="130"/>
    </row>
    <row r="220" spans="1:12">
      <c r="A220" s="26"/>
      <c r="B220" s="114"/>
      <c r="C220" s="114"/>
      <c r="D220" s="110"/>
      <c r="E220" s="171"/>
      <c r="F220" s="171"/>
      <c r="G220" s="171"/>
      <c r="H220" s="171"/>
      <c r="I220" s="40"/>
      <c r="J220" s="40"/>
      <c r="K220" s="25"/>
      <c r="L220" s="130"/>
    </row>
    <row r="221" spans="1:12">
      <c r="A221" s="172"/>
      <c r="B221" s="173"/>
      <c r="C221" s="173"/>
      <c r="D221" s="172"/>
      <c r="E221" s="174"/>
      <c r="F221" s="174"/>
      <c r="G221" s="173"/>
      <c r="H221" s="173"/>
      <c r="I221" s="173"/>
      <c r="J221" s="212"/>
      <c r="K221" s="173"/>
      <c r="L221" s="176"/>
    </row>
    <row r="222" spans="1:12">
      <c r="A222" s="26"/>
      <c r="B222" s="27"/>
      <c r="C222" s="27"/>
      <c r="D222" s="110"/>
      <c r="E222" s="171"/>
      <c r="F222" s="171"/>
      <c r="G222" s="171"/>
      <c r="H222" s="171"/>
      <c r="I222" s="40"/>
      <c r="J222" s="40"/>
      <c r="K222" s="25"/>
      <c r="L222" s="130"/>
    </row>
    <row r="223" spans="1:12">
      <c r="A223" s="26"/>
      <c r="B223" s="27"/>
      <c r="C223" s="27"/>
      <c r="D223" s="110"/>
      <c r="E223" s="171"/>
      <c r="F223" s="171"/>
      <c r="G223" s="171"/>
      <c r="H223" s="171"/>
      <c r="I223" s="40"/>
      <c r="J223" s="40"/>
      <c r="K223" s="25"/>
      <c r="L223" s="130"/>
    </row>
    <row r="224" spans="1:12">
      <c r="A224" s="26"/>
      <c r="B224" s="27"/>
      <c r="C224" s="27"/>
      <c r="D224" s="110"/>
      <c r="E224" s="171"/>
      <c r="F224" s="171"/>
      <c r="G224" s="171"/>
      <c r="H224" s="171"/>
      <c r="I224" s="40"/>
      <c r="J224" s="40"/>
      <c r="K224" s="25"/>
      <c r="L224" s="130"/>
    </row>
    <row r="225" spans="1:12">
      <c r="A225" s="26"/>
      <c r="B225" s="27"/>
      <c r="C225" s="27"/>
      <c r="D225" s="110"/>
      <c r="E225" s="171"/>
      <c r="F225" s="171"/>
      <c r="G225" s="171"/>
      <c r="H225" s="171"/>
      <c r="I225" s="40"/>
      <c r="J225" s="40"/>
      <c r="K225" s="25"/>
      <c r="L225" s="130"/>
    </row>
    <row r="226" spans="1:12">
      <c r="A226" s="172"/>
      <c r="B226" s="173"/>
      <c r="C226" s="173"/>
      <c r="D226" s="172"/>
      <c r="E226" s="174"/>
      <c r="F226" s="174"/>
      <c r="G226" s="174"/>
      <c r="H226" s="174"/>
      <c r="I226" s="172"/>
      <c r="J226" s="175"/>
      <c r="K226" s="175"/>
      <c r="L226" s="176"/>
    </row>
    <row r="227" spans="1:12">
      <c r="A227" s="26"/>
      <c r="B227" s="114"/>
      <c r="C227" s="27"/>
      <c r="D227" s="110"/>
      <c r="E227" s="171"/>
      <c r="F227" s="171"/>
      <c r="G227" s="171"/>
      <c r="H227" s="171"/>
      <c r="I227" s="40"/>
      <c r="J227" s="40"/>
      <c r="K227" s="25"/>
      <c r="L227" s="130"/>
    </row>
    <row r="228" spans="1:12">
      <c r="A228" s="26"/>
      <c r="B228" s="114"/>
      <c r="C228" s="27"/>
      <c r="D228" s="110"/>
      <c r="E228" s="171"/>
      <c r="F228" s="171"/>
      <c r="G228" s="171"/>
      <c r="H228" s="171"/>
      <c r="I228" s="40"/>
      <c r="J228" s="40"/>
      <c r="K228" s="25"/>
      <c r="L228" s="130"/>
    </row>
    <row r="229" spans="1:12">
      <c r="A229" s="26"/>
      <c r="B229" s="114"/>
      <c r="C229" s="27"/>
      <c r="D229" s="110"/>
      <c r="E229" s="171"/>
      <c r="F229" s="171"/>
      <c r="G229" s="171"/>
      <c r="H229" s="171"/>
      <c r="I229" s="40"/>
      <c r="J229" s="40"/>
      <c r="K229" s="25"/>
      <c r="L229" s="130"/>
    </row>
    <row r="230" spans="1:12">
      <c r="A230" s="26"/>
      <c r="B230" s="114"/>
      <c r="C230" s="27"/>
      <c r="D230" s="110"/>
      <c r="E230" s="171"/>
      <c r="F230" s="171"/>
      <c r="G230" s="171"/>
      <c r="H230" s="171"/>
      <c r="I230" s="40"/>
      <c r="J230" s="40"/>
      <c r="K230" s="25"/>
      <c r="L230" s="130"/>
    </row>
    <row r="231" spans="1:12" ht="25.95" customHeight="1">
      <c r="A231" s="172"/>
      <c r="B231" s="173"/>
      <c r="C231" s="173"/>
      <c r="D231" s="172"/>
      <c r="E231" s="174"/>
      <c r="F231" s="174"/>
      <c r="G231" s="174"/>
      <c r="H231" s="174"/>
      <c r="I231" s="172"/>
      <c r="J231" s="175"/>
      <c r="K231" s="175"/>
      <c r="L231" s="176"/>
    </row>
    <row r="232" spans="1:12">
      <c r="A232" s="26"/>
      <c r="B232" s="27"/>
      <c r="C232" s="27"/>
      <c r="D232" s="110"/>
      <c r="E232" s="171"/>
      <c r="F232" s="171"/>
      <c r="G232" s="171"/>
      <c r="H232" s="171"/>
      <c r="I232" s="40"/>
      <c r="J232" s="40"/>
      <c r="K232" s="25"/>
      <c r="L232" s="130"/>
    </row>
    <row r="233" spans="1:12">
      <c r="A233" s="26"/>
      <c r="B233" s="27"/>
      <c r="C233" s="27"/>
      <c r="D233" s="110"/>
      <c r="E233" s="171"/>
      <c r="F233" s="171"/>
      <c r="G233" s="171"/>
      <c r="H233" s="171"/>
      <c r="I233" s="40"/>
      <c r="J233" s="40"/>
      <c r="K233" s="25"/>
      <c r="L233" s="130"/>
    </row>
    <row r="234" spans="1:12">
      <c r="A234" s="26"/>
      <c r="B234" s="27"/>
      <c r="C234" s="27"/>
      <c r="D234" s="110"/>
      <c r="E234" s="171"/>
      <c r="F234" s="171"/>
      <c r="G234" s="171"/>
      <c r="H234" s="171"/>
      <c r="I234" s="40"/>
      <c r="J234" s="40"/>
      <c r="K234" s="25"/>
      <c r="L234" s="130"/>
    </row>
    <row r="235" spans="1:12">
      <c r="A235" s="26"/>
      <c r="B235" s="27"/>
      <c r="C235" s="27"/>
      <c r="D235" s="110"/>
      <c r="E235" s="171"/>
      <c r="F235" s="171"/>
      <c r="G235" s="171"/>
      <c r="H235" s="171"/>
      <c r="I235" s="40"/>
      <c r="J235" s="40"/>
      <c r="K235" s="25"/>
      <c r="L235" s="130"/>
    </row>
    <row r="236" spans="1:12" ht="25.05" customHeight="1">
      <c r="A236" s="172"/>
      <c r="B236" s="173"/>
      <c r="C236" s="173"/>
      <c r="D236" s="172"/>
      <c r="E236" s="174"/>
      <c r="F236" s="174"/>
      <c r="G236" s="173"/>
      <c r="H236" s="173"/>
      <c r="I236" s="173"/>
      <c r="J236" s="212"/>
      <c r="K236" s="173"/>
      <c r="L236" s="176"/>
    </row>
    <row r="237" spans="1:12">
      <c r="A237" s="26"/>
      <c r="B237" s="114"/>
      <c r="C237" s="114"/>
      <c r="D237" s="110"/>
      <c r="E237" s="171"/>
      <c r="F237" s="171"/>
      <c r="G237" s="171"/>
      <c r="H237" s="171"/>
      <c r="I237" s="40"/>
      <c r="J237" s="40"/>
      <c r="K237" s="25"/>
      <c r="L237" s="130"/>
    </row>
    <row r="238" spans="1:12">
      <c r="A238" s="26"/>
      <c r="B238" s="114"/>
      <c r="C238" s="114"/>
      <c r="D238" s="110"/>
      <c r="E238" s="171"/>
      <c r="F238" s="171"/>
      <c r="G238" s="171"/>
      <c r="H238" s="171"/>
      <c r="I238" s="40"/>
      <c r="J238" s="40"/>
      <c r="K238" s="25"/>
      <c r="L238" s="130"/>
    </row>
    <row r="239" spans="1:12">
      <c r="A239" s="26"/>
      <c r="B239" s="114"/>
      <c r="C239" s="114"/>
      <c r="D239" s="110"/>
      <c r="E239" s="171"/>
      <c r="F239" s="171"/>
      <c r="G239" s="171"/>
      <c r="H239" s="171"/>
      <c r="I239" s="40"/>
      <c r="J239" s="40"/>
      <c r="K239" s="25"/>
      <c r="L239" s="130"/>
    </row>
    <row r="240" spans="1:12">
      <c r="A240" s="26"/>
      <c r="B240" s="114"/>
      <c r="C240" s="114"/>
      <c r="D240" s="110"/>
      <c r="E240" s="171"/>
      <c r="F240" s="171"/>
      <c r="G240" s="171"/>
      <c r="H240" s="171"/>
      <c r="I240" s="40"/>
      <c r="J240" s="40"/>
      <c r="K240" s="25"/>
      <c r="L240" s="130"/>
    </row>
    <row r="241" spans="1:12" ht="22.05" customHeight="1">
      <c r="A241" s="172"/>
      <c r="B241" s="173"/>
      <c r="C241" s="173"/>
      <c r="D241" s="172"/>
      <c r="E241" s="174"/>
      <c r="F241" s="174"/>
      <c r="G241" s="200"/>
      <c r="H241" s="200"/>
      <c r="I241" s="198"/>
      <c r="J241" s="201"/>
      <c r="K241" s="201"/>
      <c r="L241" s="176"/>
    </row>
    <row r="242" spans="1:12">
      <c r="A242" s="26"/>
      <c r="B242" s="114"/>
      <c r="C242" s="27"/>
      <c r="D242" s="110"/>
      <c r="E242" s="171"/>
      <c r="F242" s="171"/>
      <c r="G242" s="171"/>
      <c r="H242" s="171"/>
      <c r="I242" s="40"/>
      <c r="J242" s="40"/>
      <c r="K242" s="25"/>
      <c r="L242" s="130"/>
    </row>
    <row r="243" spans="1:12">
      <c r="A243" s="26"/>
      <c r="B243" s="114"/>
      <c r="C243" s="27"/>
      <c r="D243" s="110"/>
      <c r="E243" s="171"/>
      <c r="F243" s="171"/>
      <c r="G243" s="171"/>
      <c r="H243" s="171"/>
      <c r="I243" s="40"/>
      <c r="J243" s="40"/>
      <c r="K243" s="25"/>
      <c r="L243" s="130"/>
    </row>
    <row r="244" spans="1:12">
      <c r="A244" s="26"/>
      <c r="B244" s="114"/>
      <c r="C244" s="27"/>
      <c r="D244" s="110"/>
      <c r="E244" s="171"/>
      <c r="F244" s="171"/>
      <c r="G244" s="171"/>
      <c r="H244" s="171"/>
      <c r="I244" s="40"/>
      <c r="J244" s="40"/>
      <c r="K244" s="25"/>
      <c r="L244" s="130"/>
    </row>
    <row r="245" spans="1:12">
      <c r="A245" s="26"/>
      <c r="B245" s="114"/>
      <c r="C245" s="27"/>
      <c r="D245" s="110"/>
      <c r="E245" s="171"/>
      <c r="F245" s="171"/>
      <c r="G245" s="171"/>
      <c r="H245" s="171"/>
      <c r="I245" s="40"/>
      <c r="J245" s="40"/>
      <c r="K245" s="25"/>
      <c r="L245" s="130"/>
    </row>
    <row r="246" spans="1:12">
      <c r="A246" s="172"/>
      <c r="B246" s="173"/>
      <c r="C246" s="173"/>
      <c r="D246" s="172"/>
      <c r="E246" s="174"/>
      <c r="F246" s="174"/>
      <c r="G246" s="174"/>
      <c r="H246" s="174"/>
      <c r="I246" s="172"/>
      <c r="J246" s="175"/>
      <c r="K246" s="175"/>
      <c r="L246" s="176"/>
    </row>
    <row r="247" spans="1:12">
      <c r="A247" s="26"/>
      <c r="B247" s="114"/>
      <c r="C247" s="114"/>
      <c r="D247" s="110"/>
      <c r="E247" s="171"/>
      <c r="F247" s="171"/>
      <c r="G247" s="171"/>
      <c r="H247" s="171"/>
      <c r="I247" s="40"/>
      <c r="J247" s="40"/>
      <c r="K247" s="25"/>
      <c r="L247" s="130"/>
    </row>
    <row r="248" spans="1:12">
      <c r="A248" s="26"/>
      <c r="B248" s="114"/>
      <c r="C248" s="114"/>
      <c r="D248" s="110"/>
      <c r="E248" s="171"/>
      <c r="F248" s="171"/>
      <c r="G248" s="171"/>
      <c r="H248" s="171"/>
      <c r="I248" s="40"/>
      <c r="J248" s="40"/>
      <c r="K248" s="25"/>
      <c r="L248" s="130"/>
    </row>
    <row r="249" spans="1:12">
      <c r="A249" s="26"/>
      <c r="B249" s="114"/>
      <c r="C249" s="114"/>
      <c r="D249" s="110"/>
      <c r="E249" s="171"/>
      <c r="F249" s="171"/>
      <c r="G249" s="171"/>
      <c r="H249" s="171"/>
      <c r="I249" s="40"/>
      <c r="J249" s="40"/>
      <c r="K249" s="25"/>
      <c r="L249" s="130"/>
    </row>
    <row r="250" spans="1:12">
      <c r="A250" s="26"/>
      <c r="B250" s="114"/>
      <c r="C250" s="114"/>
      <c r="D250" s="110"/>
      <c r="E250" s="171"/>
      <c r="F250" s="171"/>
      <c r="G250" s="171"/>
      <c r="H250" s="171"/>
      <c r="I250" s="40"/>
      <c r="J250" s="40"/>
      <c r="K250" s="25"/>
      <c r="L250" s="130"/>
    </row>
    <row r="251" spans="1:12">
      <c r="A251" s="172"/>
      <c r="B251" s="173"/>
      <c r="C251" s="173"/>
      <c r="D251" s="172"/>
      <c r="E251" s="174"/>
      <c r="F251" s="174"/>
      <c r="G251" s="173"/>
      <c r="H251" s="173"/>
      <c r="I251" s="173"/>
      <c r="J251" s="212"/>
      <c r="K251" s="173"/>
      <c r="L251" s="176"/>
    </row>
    <row r="252" spans="1:12">
      <c r="A252" s="26"/>
      <c r="B252" s="27"/>
      <c r="C252" s="27"/>
      <c r="D252" s="110"/>
      <c r="E252" s="171"/>
      <c r="F252" s="171"/>
      <c r="G252" s="171"/>
      <c r="H252" s="171"/>
      <c r="I252" s="40"/>
      <c r="J252" s="40"/>
      <c r="K252" s="25"/>
      <c r="L252" s="130"/>
    </row>
    <row r="253" spans="1:12">
      <c r="A253" s="26"/>
      <c r="B253" s="27"/>
      <c r="C253" s="27"/>
      <c r="D253" s="110"/>
      <c r="E253" s="171"/>
      <c r="F253" s="171"/>
      <c r="G253" s="171"/>
      <c r="H253" s="171"/>
      <c r="I253" s="40"/>
      <c r="J253" s="40"/>
      <c r="K253" s="25"/>
      <c r="L253" s="130"/>
    </row>
    <row r="254" spans="1:12">
      <c r="A254" s="26"/>
      <c r="B254" s="27"/>
      <c r="C254" s="27"/>
      <c r="D254" s="110"/>
      <c r="E254" s="171"/>
      <c r="F254" s="171"/>
      <c r="G254" s="171"/>
      <c r="H254" s="171"/>
      <c r="I254" s="40"/>
      <c r="J254" s="40"/>
      <c r="K254" s="25"/>
      <c r="L254" s="130"/>
    </row>
    <row r="255" spans="1:12">
      <c r="A255" s="26"/>
      <c r="B255" s="27"/>
      <c r="C255" s="27"/>
      <c r="D255" s="110"/>
      <c r="E255" s="171"/>
      <c r="F255" s="171"/>
      <c r="G255" s="171"/>
      <c r="H255" s="171"/>
      <c r="I255" s="40"/>
      <c r="J255" s="40"/>
      <c r="K255" s="25"/>
      <c r="L255" s="130"/>
    </row>
    <row r="256" spans="1:12">
      <c r="A256" s="172"/>
      <c r="B256" s="173"/>
      <c r="C256" s="173"/>
      <c r="D256" s="172"/>
      <c r="E256" s="174"/>
      <c r="F256" s="174"/>
      <c r="G256" s="173"/>
      <c r="H256" s="173"/>
      <c r="I256" s="173"/>
      <c r="J256" s="212"/>
      <c r="K256" s="173"/>
      <c r="L256" s="176"/>
    </row>
    <row r="257" spans="1:12">
      <c r="A257" s="26"/>
      <c r="B257" s="27"/>
      <c r="C257" s="27"/>
      <c r="D257" s="110"/>
      <c r="E257" s="171"/>
      <c r="F257" s="171"/>
      <c r="G257" s="170"/>
      <c r="H257" s="170"/>
      <c r="I257" s="40"/>
      <c r="J257" s="40"/>
      <c r="K257" s="25"/>
      <c r="L257" s="130"/>
    </row>
    <row r="258" spans="1:12">
      <c r="A258" s="26"/>
      <c r="B258" s="27"/>
      <c r="C258" s="27"/>
      <c r="D258" s="110"/>
      <c r="E258" s="171"/>
      <c r="F258" s="171"/>
      <c r="G258" s="170"/>
      <c r="H258" s="170"/>
      <c r="I258" s="40"/>
      <c r="J258" s="40"/>
      <c r="K258" s="25"/>
      <c r="L258" s="130"/>
    </row>
    <row r="259" spans="1:12">
      <c r="A259" s="26"/>
      <c r="B259" s="27"/>
      <c r="C259" s="27"/>
      <c r="D259" s="110"/>
      <c r="E259" s="171"/>
      <c r="F259" s="171"/>
      <c r="G259" s="170"/>
      <c r="H259" s="170"/>
      <c r="I259" s="40"/>
      <c r="J259" s="40"/>
      <c r="K259" s="25"/>
      <c r="L259" s="130"/>
    </row>
    <row r="260" spans="1:12">
      <c r="A260" s="26"/>
      <c r="B260" s="27"/>
      <c r="C260" s="27"/>
      <c r="D260" s="110"/>
      <c r="E260" s="171"/>
      <c r="F260" s="171"/>
      <c r="G260" s="170"/>
      <c r="H260" s="170"/>
      <c r="I260" s="40"/>
      <c r="J260" s="40"/>
      <c r="K260" s="25"/>
      <c r="L260" s="130"/>
    </row>
    <row r="261" spans="1:12">
      <c r="A261" s="172"/>
      <c r="B261" s="173"/>
      <c r="C261" s="173"/>
      <c r="D261" s="172"/>
      <c r="E261" s="174"/>
      <c r="F261" s="174"/>
      <c r="G261" s="173"/>
      <c r="H261" s="173"/>
      <c r="I261" s="173"/>
      <c r="J261" s="212"/>
      <c r="K261" s="173"/>
      <c r="L261" s="176"/>
    </row>
    <row r="262" spans="1:12">
      <c r="A262" s="26"/>
      <c r="B262" s="114"/>
      <c r="C262" s="27"/>
      <c r="D262" s="110"/>
      <c r="E262" s="171"/>
      <c r="F262" s="171"/>
      <c r="G262" s="171"/>
      <c r="H262" s="171"/>
      <c r="I262" s="40"/>
      <c r="J262" s="40"/>
      <c r="K262" s="25"/>
      <c r="L262" s="130"/>
    </row>
    <row r="263" spans="1:12">
      <c r="A263" s="26"/>
      <c r="B263" s="114"/>
      <c r="C263" s="27"/>
      <c r="D263" s="110"/>
      <c r="E263" s="171"/>
      <c r="F263" s="171"/>
      <c r="G263" s="171"/>
      <c r="H263" s="171"/>
      <c r="I263" s="40"/>
      <c r="J263" s="40"/>
      <c r="K263" s="25"/>
      <c r="L263" s="130"/>
    </row>
    <row r="264" spans="1:12">
      <c r="A264" s="26"/>
      <c r="B264" s="114"/>
      <c r="C264" s="27"/>
      <c r="D264" s="110"/>
      <c r="E264" s="171"/>
      <c r="F264" s="171"/>
      <c r="G264" s="171"/>
      <c r="H264" s="171"/>
      <c r="I264" s="40"/>
      <c r="J264" s="40"/>
      <c r="K264" s="25"/>
      <c r="L264" s="130"/>
    </row>
    <row r="265" spans="1:12">
      <c r="A265" s="26"/>
      <c r="B265" s="114"/>
      <c r="C265" s="27"/>
      <c r="D265" s="110"/>
      <c r="E265" s="171"/>
      <c r="F265" s="171"/>
      <c r="G265" s="171"/>
      <c r="H265" s="171"/>
      <c r="I265" s="40"/>
      <c r="J265" s="40"/>
      <c r="K265" s="25"/>
      <c r="L265" s="130"/>
    </row>
    <row r="266" spans="1:12">
      <c r="A266" s="172"/>
      <c r="B266" s="173"/>
      <c r="C266" s="173"/>
      <c r="D266" s="172"/>
      <c r="E266" s="174"/>
      <c r="F266" s="174"/>
      <c r="G266" s="173"/>
      <c r="H266" s="173"/>
      <c r="I266" s="173"/>
      <c r="J266" s="212"/>
      <c r="K266" s="173"/>
      <c r="L266" s="176"/>
    </row>
    <row r="267" spans="1:12">
      <c r="A267" s="26"/>
      <c r="B267" s="27"/>
      <c r="C267" s="27"/>
      <c r="D267" s="110"/>
      <c r="E267" s="171"/>
      <c r="F267" s="171"/>
      <c r="G267" s="171"/>
      <c r="H267" s="171"/>
      <c r="I267" s="40"/>
      <c r="J267" s="40"/>
      <c r="K267" s="25"/>
      <c r="L267" s="130"/>
    </row>
    <row r="268" spans="1:12">
      <c r="A268" s="26"/>
      <c r="B268" s="27"/>
      <c r="C268" s="27"/>
      <c r="D268" s="110"/>
      <c r="E268" s="171"/>
      <c r="F268" s="171"/>
      <c r="G268" s="171"/>
      <c r="H268" s="171"/>
      <c r="I268" s="40"/>
      <c r="J268" s="40"/>
      <c r="K268" s="25"/>
      <c r="L268" s="130"/>
    </row>
    <row r="269" spans="1:12">
      <c r="A269" s="26"/>
      <c r="B269" s="27"/>
      <c r="C269" s="27"/>
      <c r="D269" s="110"/>
      <c r="E269" s="171"/>
      <c r="F269" s="171"/>
      <c r="G269" s="171"/>
      <c r="H269" s="171"/>
      <c r="I269" s="40"/>
      <c r="J269" s="40"/>
      <c r="K269" s="25"/>
      <c r="L269" s="130"/>
    </row>
    <row r="270" spans="1:12">
      <c r="A270" s="26"/>
      <c r="B270" s="27"/>
      <c r="C270" s="27"/>
      <c r="D270" s="110"/>
      <c r="E270" s="171"/>
      <c r="F270" s="171"/>
      <c r="G270" s="171"/>
      <c r="H270" s="171"/>
      <c r="I270" s="40"/>
      <c r="J270" s="40"/>
      <c r="K270" s="25"/>
      <c r="L270" s="130"/>
    </row>
    <row r="271" spans="1:12">
      <c r="A271" s="172"/>
      <c r="B271" s="173"/>
      <c r="C271" s="173"/>
      <c r="D271" s="172"/>
      <c r="E271" s="174"/>
      <c r="F271" s="174"/>
      <c r="G271" s="173"/>
      <c r="H271" s="173"/>
      <c r="I271" s="173"/>
      <c r="J271" s="212"/>
      <c r="K271" s="173"/>
      <c r="L271" s="176"/>
    </row>
    <row r="272" spans="1:12">
      <c r="A272" s="26"/>
      <c r="B272" s="27"/>
      <c r="C272" s="27"/>
      <c r="D272" s="110"/>
      <c r="E272" s="171"/>
      <c r="F272" s="171"/>
      <c r="G272" s="171"/>
      <c r="H272" s="111"/>
      <c r="I272" s="40"/>
      <c r="J272" s="40"/>
      <c r="K272" s="25"/>
      <c r="L272" s="130"/>
    </row>
    <row r="273" spans="1:12">
      <c r="A273" s="26"/>
      <c r="B273" s="27"/>
      <c r="C273" s="27"/>
      <c r="D273" s="110"/>
      <c r="E273" s="171"/>
      <c r="F273" s="171"/>
      <c r="G273" s="111"/>
      <c r="H273" s="111"/>
      <c r="I273" s="40"/>
      <c r="J273" s="40"/>
      <c r="K273" s="25"/>
      <c r="L273" s="130"/>
    </row>
    <row r="274" spans="1:12">
      <c r="A274" s="26"/>
      <c r="B274" s="27"/>
      <c r="C274" s="27"/>
      <c r="D274" s="110"/>
      <c r="E274" s="171"/>
      <c r="F274" s="171"/>
      <c r="G274" s="111"/>
      <c r="H274" s="111"/>
      <c r="I274" s="40"/>
      <c r="J274" s="40"/>
      <c r="K274" s="25"/>
      <c r="L274" s="130"/>
    </row>
    <row r="275" spans="1:12">
      <c r="A275" s="26"/>
      <c r="B275" s="27"/>
      <c r="C275" s="27"/>
      <c r="D275" s="110"/>
      <c r="E275" s="171"/>
      <c r="F275" s="171"/>
      <c r="G275" s="111"/>
      <c r="H275" s="111"/>
      <c r="I275" s="40"/>
      <c r="J275" s="40"/>
      <c r="K275" s="25"/>
      <c r="L275" s="130"/>
    </row>
    <row r="276" spans="1:12">
      <c r="A276" s="172"/>
      <c r="B276" s="173"/>
      <c r="C276" s="173"/>
      <c r="D276" s="172"/>
      <c r="E276" s="174"/>
      <c r="F276" s="174"/>
      <c r="G276" s="174"/>
      <c r="H276" s="174"/>
      <c r="I276" s="172"/>
      <c r="J276" s="175"/>
      <c r="K276" s="175"/>
      <c r="L276" s="176"/>
    </row>
    <row r="277" spans="1:12">
      <c r="A277" s="26"/>
      <c r="B277" s="114"/>
      <c r="C277" s="27"/>
      <c r="D277" s="110"/>
      <c r="E277" s="171"/>
      <c r="F277" s="202"/>
      <c r="G277" s="171"/>
      <c r="H277" s="111"/>
      <c r="I277" s="40"/>
      <c r="J277" s="40"/>
      <c r="K277" s="25"/>
      <c r="L277" s="130"/>
    </row>
    <row r="278" spans="1:12">
      <c r="A278" s="26"/>
      <c r="B278" s="114"/>
      <c r="C278" s="27"/>
      <c r="D278" s="110"/>
      <c r="E278" s="171"/>
      <c r="F278" s="202"/>
      <c r="G278" s="111"/>
      <c r="H278" s="111"/>
      <c r="I278" s="40"/>
      <c r="J278" s="40"/>
      <c r="K278" s="25"/>
      <c r="L278" s="130"/>
    </row>
    <row r="279" spans="1:12">
      <c r="A279" s="26"/>
      <c r="B279" s="114"/>
      <c r="C279" s="27"/>
      <c r="D279" s="110"/>
      <c r="E279" s="171"/>
      <c r="F279" s="202"/>
      <c r="G279" s="111"/>
      <c r="H279" s="111"/>
      <c r="I279" s="40"/>
      <c r="J279" s="40"/>
      <c r="K279" s="25"/>
      <c r="L279" s="130"/>
    </row>
    <row r="280" spans="1:12">
      <c r="A280" s="26"/>
      <c r="B280" s="114"/>
      <c r="C280" s="27"/>
      <c r="D280" s="110"/>
      <c r="E280" s="171"/>
      <c r="F280" s="202"/>
      <c r="G280" s="111"/>
      <c r="H280" s="111"/>
      <c r="I280" s="40"/>
      <c r="J280" s="40"/>
      <c r="K280" s="25"/>
      <c r="L280" s="130"/>
    </row>
    <row r="281" spans="1:12">
      <c r="A281" s="172"/>
      <c r="B281" s="173"/>
      <c r="C281" s="173"/>
      <c r="D281" s="172"/>
      <c r="E281" s="174"/>
      <c r="F281" s="174"/>
      <c r="G281" s="173"/>
      <c r="H281" s="173"/>
      <c r="I281" s="173"/>
      <c r="J281" s="212"/>
      <c r="K281" s="173"/>
      <c r="L281" s="176"/>
    </row>
    <row r="282" spans="1:12">
      <c r="A282" s="26"/>
      <c r="B282" s="114"/>
      <c r="C282" s="114"/>
      <c r="D282" s="110"/>
      <c r="E282" s="171"/>
      <c r="F282" s="202"/>
      <c r="G282" s="171"/>
      <c r="H282" s="171"/>
      <c r="I282" s="40"/>
      <c r="J282" s="40"/>
      <c r="K282" s="25"/>
      <c r="L282" s="130"/>
    </row>
    <row r="283" spans="1:12">
      <c r="A283" s="26"/>
      <c r="B283" s="114"/>
      <c r="C283" s="114"/>
      <c r="D283" s="110"/>
      <c r="E283" s="202"/>
      <c r="F283" s="202"/>
      <c r="G283" s="171"/>
      <c r="H283" s="171"/>
      <c r="I283" s="40"/>
      <c r="J283" s="40"/>
      <c r="K283" s="25"/>
      <c r="L283" s="130"/>
    </row>
    <row r="284" spans="1:12">
      <c r="A284" s="26"/>
      <c r="B284" s="114"/>
      <c r="C284" s="114"/>
      <c r="D284" s="110"/>
      <c r="E284" s="202"/>
      <c r="F284" s="202"/>
      <c r="G284" s="171"/>
      <c r="H284" s="171"/>
      <c r="I284" s="40"/>
      <c r="J284" s="40"/>
      <c r="K284" s="25"/>
      <c r="L284" s="130"/>
    </row>
    <row r="285" spans="1:12">
      <c r="A285" s="26"/>
      <c r="B285" s="114"/>
      <c r="C285" s="114"/>
      <c r="D285" s="110"/>
      <c r="E285" s="202"/>
      <c r="F285" s="202"/>
      <c r="G285" s="171"/>
      <c r="H285" s="171"/>
      <c r="I285" s="40"/>
      <c r="J285" s="40"/>
      <c r="K285" s="25"/>
      <c r="L285" s="130"/>
    </row>
    <row r="286" spans="1:12">
      <c r="A286" s="172"/>
      <c r="B286" s="173"/>
      <c r="C286" s="173"/>
      <c r="D286" s="172"/>
      <c r="E286" s="174"/>
      <c r="F286" s="174"/>
      <c r="G286" s="173"/>
      <c r="H286" s="173"/>
      <c r="I286" s="173"/>
      <c r="J286" s="212"/>
      <c r="K286" s="173"/>
      <c r="L286" s="176"/>
    </row>
    <row r="287" spans="1:12">
      <c r="A287" s="26"/>
      <c r="B287" s="114"/>
      <c r="C287" s="27"/>
      <c r="D287" s="110"/>
      <c r="E287" s="171"/>
      <c r="F287" s="202"/>
      <c r="G287" s="171"/>
      <c r="H287" s="171"/>
      <c r="I287" s="40"/>
      <c r="J287" s="40"/>
      <c r="K287" s="25"/>
      <c r="L287" s="130"/>
    </row>
    <row r="288" spans="1:12">
      <c r="A288" s="26"/>
      <c r="B288" s="114"/>
      <c r="C288" s="27"/>
      <c r="D288" s="110"/>
      <c r="E288" s="202"/>
      <c r="F288" s="202"/>
      <c r="G288" s="171"/>
      <c r="H288" s="171"/>
      <c r="I288" s="40"/>
      <c r="J288" s="40"/>
      <c r="K288" s="25"/>
      <c r="L288" s="130"/>
    </row>
    <row r="289" spans="1:12">
      <c r="A289" s="26"/>
      <c r="B289" s="114"/>
      <c r="C289" s="27"/>
      <c r="D289" s="110"/>
      <c r="E289" s="202"/>
      <c r="F289" s="202"/>
      <c r="G289" s="171"/>
      <c r="H289" s="171"/>
      <c r="I289" s="40"/>
      <c r="J289" s="40"/>
      <c r="K289" s="25"/>
      <c r="L289" s="130"/>
    </row>
    <row r="290" spans="1:12">
      <c r="A290" s="26"/>
      <c r="B290" s="114"/>
      <c r="C290" s="27"/>
      <c r="D290" s="110"/>
      <c r="E290" s="202"/>
      <c r="F290" s="202"/>
      <c r="G290" s="171"/>
      <c r="H290" s="171"/>
      <c r="I290" s="40"/>
      <c r="J290" s="40"/>
      <c r="K290" s="25"/>
      <c r="L290" s="130"/>
    </row>
    <row r="291" spans="1:12">
      <c r="A291" s="172"/>
      <c r="B291" s="173"/>
      <c r="C291" s="173"/>
      <c r="D291" s="172"/>
      <c r="E291" s="174"/>
      <c r="F291" s="174"/>
      <c r="G291" s="199"/>
      <c r="H291" s="199"/>
      <c r="I291" s="199"/>
      <c r="J291" s="213"/>
      <c r="K291" s="199"/>
      <c r="L291" s="176"/>
    </row>
    <row r="292" spans="1:12">
      <c r="A292" s="26"/>
      <c r="B292" s="27"/>
      <c r="C292" s="27"/>
      <c r="D292" s="110"/>
      <c r="E292" s="171"/>
      <c r="F292" s="171"/>
      <c r="G292" s="171"/>
      <c r="H292" s="170"/>
      <c r="I292" s="112"/>
      <c r="J292" s="40"/>
      <c r="K292" s="25"/>
      <c r="L292" s="130"/>
    </row>
    <row r="293" spans="1:12">
      <c r="A293" s="26"/>
      <c r="B293" s="27"/>
      <c r="C293" s="27"/>
      <c r="D293" s="110"/>
      <c r="E293" s="171"/>
      <c r="F293" s="171"/>
      <c r="G293" s="170"/>
      <c r="H293" s="170"/>
      <c r="I293" s="112"/>
      <c r="J293" s="40"/>
      <c r="K293" s="25"/>
      <c r="L293" s="130"/>
    </row>
    <row r="294" spans="1:12">
      <c r="A294" s="26"/>
      <c r="B294" s="27"/>
      <c r="C294" s="27"/>
      <c r="D294" s="110"/>
      <c r="E294" s="171"/>
      <c r="F294" s="171"/>
      <c r="G294" s="170"/>
      <c r="H294" s="170"/>
      <c r="I294" s="112"/>
      <c r="J294" s="40"/>
      <c r="K294" s="25"/>
      <c r="L294" s="130"/>
    </row>
    <row r="295" spans="1:12">
      <c r="A295" s="26"/>
      <c r="B295" s="27"/>
      <c r="C295" s="27"/>
      <c r="D295" s="110"/>
      <c r="E295" s="171"/>
      <c r="F295" s="171"/>
      <c r="G295" s="170"/>
      <c r="H295" s="170"/>
      <c r="I295" s="112"/>
      <c r="J295" s="40"/>
      <c r="K295" s="25"/>
      <c r="L295" s="130"/>
    </row>
    <row r="296" spans="1:12">
      <c r="A296" s="172"/>
      <c r="B296" s="173"/>
      <c r="C296" s="173"/>
      <c r="D296" s="172"/>
      <c r="E296" s="174"/>
      <c r="F296" s="174"/>
      <c r="G296" s="173"/>
      <c r="H296" s="173"/>
      <c r="I296" s="173"/>
      <c r="J296" s="212"/>
      <c r="K296" s="173"/>
      <c r="L296" s="176"/>
    </row>
    <row r="297" spans="1:12">
      <c r="A297" s="26"/>
      <c r="B297" s="114"/>
      <c r="C297" s="114"/>
      <c r="D297" s="110"/>
      <c r="E297" s="171"/>
      <c r="F297" s="171"/>
      <c r="G297" s="171"/>
      <c r="H297" s="171"/>
      <c r="I297" s="112"/>
      <c r="J297" s="40"/>
      <c r="K297" s="25"/>
      <c r="L297" s="130"/>
    </row>
    <row r="298" spans="1:12">
      <c r="A298" s="26"/>
      <c r="B298" s="114"/>
      <c r="C298" s="114"/>
      <c r="D298" s="110"/>
      <c r="E298" s="171"/>
      <c r="F298" s="171"/>
      <c r="G298" s="171"/>
      <c r="H298" s="171"/>
      <c r="I298" s="112"/>
      <c r="J298" s="40"/>
      <c r="K298" s="25"/>
      <c r="L298" s="130"/>
    </row>
    <row r="299" spans="1:12">
      <c r="A299" s="26"/>
      <c r="B299" s="114"/>
      <c r="C299" s="114"/>
      <c r="D299" s="110"/>
      <c r="E299" s="171"/>
      <c r="F299" s="171"/>
      <c r="G299" s="171"/>
      <c r="H299" s="171"/>
      <c r="I299" s="112"/>
      <c r="J299" s="40"/>
      <c r="K299" s="25"/>
      <c r="L299" s="130"/>
    </row>
    <row r="300" spans="1:12">
      <c r="A300" s="26"/>
      <c r="B300" s="114"/>
      <c r="C300" s="114"/>
      <c r="D300" s="110"/>
      <c r="E300" s="171"/>
      <c r="F300" s="171"/>
      <c r="G300" s="171"/>
      <c r="H300" s="171"/>
      <c r="I300" s="112"/>
      <c r="J300" s="40"/>
      <c r="K300" s="25"/>
      <c r="L300" s="130"/>
    </row>
    <row r="301" spans="1:12">
      <c r="A301" s="172"/>
      <c r="B301" s="173"/>
      <c r="C301" s="173"/>
      <c r="D301" s="172"/>
      <c r="E301" s="174"/>
      <c r="F301" s="174"/>
      <c r="G301" s="173"/>
      <c r="H301" s="173"/>
      <c r="I301" s="173"/>
      <c r="J301" s="212"/>
      <c r="K301" s="173"/>
      <c r="L301" s="176"/>
    </row>
    <row r="302" spans="1:12">
      <c r="A302" s="26"/>
      <c r="B302" s="27"/>
      <c r="C302" s="27"/>
      <c r="D302" s="110"/>
      <c r="E302" s="170"/>
      <c r="F302" s="170"/>
      <c r="G302" s="170"/>
      <c r="H302" s="170"/>
      <c r="I302" s="112"/>
      <c r="J302" s="40"/>
      <c r="K302" s="25"/>
      <c r="L302" s="130"/>
    </row>
    <row r="303" spans="1:12">
      <c r="A303" s="26"/>
      <c r="B303" s="27"/>
      <c r="C303" s="27"/>
      <c r="D303" s="110"/>
      <c r="E303" s="170"/>
      <c r="F303" s="170"/>
      <c r="G303" s="170"/>
      <c r="H303" s="170"/>
      <c r="I303" s="112"/>
      <c r="J303" s="40"/>
      <c r="K303" s="25"/>
      <c r="L303" s="130"/>
    </row>
    <row r="304" spans="1:12">
      <c r="A304" s="26"/>
      <c r="B304" s="27"/>
      <c r="C304" s="27"/>
      <c r="D304" s="110"/>
      <c r="E304" s="170"/>
      <c r="F304" s="170"/>
      <c r="G304" s="170"/>
      <c r="H304" s="170"/>
      <c r="I304" s="112"/>
      <c r="J304" s="40"/>
      <c r="K304" s="25"/>
      <c r="L304" s="130"/>
    </row>
    <row r="305" spans="1:12">
      <c r="A305" s="26"/>
      <c r="B305" s="27"/>
      <c r="C305" s="27"/>
      <c r="D305" s="110"/>
      <c r="E305" s="170"/>
      <c r="F305" s="170"/>
      <c r="G305" s="170"/>
      <c r="H305" s="170"/>
      <c r="I305" s="112"/>
      <c r="J305" s="40"/>
      <c r="K305" s="25"/>
      <c r="L305" s="130"/>
    </row>
    <row r="306" spans="1:12">
      <c r="A306" s="172"/>
      <c r="B306" s="173"/>
      <c r="C306" s="173"/>
      <c r="D306" s="172"/>
      <c r="E306" s="174"/>
      <c r="F306" s="174"/>
      <c r="G306" s="173"/>
      <c r="H306" s="173"/>
      <c r="I306" s="173"/>
      <c r="J306" s="212"/>
      <c r="K306" s="173"/>
      <c r="L306" s="176"/>
    </row>
    <row r="307" spans="1:12">
      <c r="A307" s="26"/>
      <c r="B307" s="27"/>
      <c r="C307" s="27"/>
      <c r="D307" s="110"/>
      <c r="E307" s="171"/>
      <c r="F307" s="171"/>
      <c r="G307" s="171"/>
      <c r="H307" s="171"/>
      <c r="I307" s="112"/>
      <c r="J307" s="40"/>
      <c r="K307" s="25"/>
      <c r="L307" s="130"/>
    </row>
    <row r="308" spans="1:12">
      <c r="A308" s="26"/>
      <c r="B308" s="27"/>
      <c r="C308" s="27"/>
      <c r="D308" s="110"/>
      <c r="E308" s="171"/>
      <c r="F308" s="171"/>
      <c r="G308" s="171"/>
      <c r="H308" s="171"/>
      <c r="I308" s="112"/>
      <c r="J308" s="40"/>
      <c r="K308" s="25"/>
      <c r="L308" s="130"/>
    </row>
    <row r="309" spans="1:12">
      <c r="A309" s="26"/>
      <c r="B309" s="27"/>
      <c r="C309" s="27"/>
      <c r="D309" s="110"/>
      <c r="E309" s="171"/>
      <c r="F309" s="171"/>
      <c r="G309" s="171"/>
      <c r="H309" s="171"/>
      <c r="I309" s="112"/>
      <c r="J309" s="40"/>
      <c r="K309" s="25"/>
      <c r="L309" s="130"/>
    </row>
    <row r="310" spans="1:12">
      <c r="A310" s="26"/>
      <c r="B310" s="27"/>
      <c r="C310" s="27"/>
      <c r="D310" s="110"/>
      <c r="E310" s="171"/>
      <c r="F310" s="171"/>
      <c r="G310" s="171"/>
      <c r="H310" s="171"/>
      <c r="I310" s="112"/>
      <c r="J310" s="40"/>
      <c r="K310" s="25"/>
      <c r="L310" s="130"/>
    </row>
    <row r="311" spans="1:12">
      <c r="A311" s="198"/>
      <c r="B311" s="199"/>
      <c r="C311" s="199"/>
      <c r="D311" s="198"/>
      <c r="E311" s="200"/>
      <c r="F311" s="200"/>
      <c r="G311" s="199"/>
      <c r="H311" s="199"/>
      <c r="I311" s="199"/>
      <c r="J311" s="213"/>
      <c r="K311" s="199"/>
      <c r="L311" s="176"/>
    </row>
    <row r="312" spans="1:12">
      <c r="A312" s="189"/>
      <c r="B312" s="191"/>
      <c r="C312" s="191"/>
      <c r="D312" s="192"/>
      <c r="E312" s="202"/>
      <c r="F312" s="202"/>
      <c r="G312" s="214"/>
      <c r="H312" s="214"/>
      <c r="I312" s="203"/>
      <c r="J312" s="203"/>
      <c r="K312" s="204"/>
      <c r="L312" s="130"/>
    </row>
    <row r="313" spans="1:12">
      <c r="A313" s="189"/>
      <c r="B313" s="191"/>
      <c r="C313" s="191"/>
      <c r="D313" s="192"/>
      <c r="E313" s="202"/>
      <c r="F313" s="202"/>
      <c r="G313" s="214"/>
      <c r="H313" s="214"/>
      <c r="I313" s="203"/>
      <c r="J313" s="203"/>
      <c r="K313" s="204"/>
      <c r="L313" s="130"/>
    </row>
    <row r="314" spans="1:12">
      <c r="A314" s="189"/>
      <c r="B314" s="191"/>
      <c r="C314" s="191"/>
      <c r="D314" s="192"/>
      <c r="E314" s="202"/>
      <c r="F314" s="202"/>
      <c r="G314" s="214"/>
      <c r="H314" s="214"/>
      <c r="I314" s="203"/>
      <c r="J314" s="203"/>
      <c r="K314" s="204"/>
      <c r="L314" s="130"/>
    </row>
    <row r="315" spans="1:12">
      <c r="A315" s="189"/>
      <c r="B315" s="191"/>
      <c r="C315" s="191"/>
      <c r="D315" s="192"/>
      <c r="E315" s="202"/>
      <c r="F315" s="202"/>
      <c r="G315" s="214"/>
      <c r="H315" s="214"/>
      <c r="I315" s="203"/>
      <c r="J315" s="203"/>
      <c r="K315" s="204"/>
      <c r="L315" s="130"/>
    </row>
    <row r="316" spans="1:12">
      <c r="A316" s="198"/>
      <c r="B316" s="199"/>
      <c r="C316" s="199"/>
      <c r="D316" s="198"/>
      <c r="E316" s="200"/>
      <c r="F316" s="200"/>
      <c r="G316" s="199"/>
      <c r="H316" s="199"/>
      <c r="I316" s="199"/>
      <c r="J316" s="213"/>
      <c r="K316" s="199"/>
      <c r="L316" s="176"/>
    </row>
    <row r="317" spans="1:12">
      <c r="A317" s="189"/>
      <c r="B317" s="191"/>
      <c r="C317" s="191"/>
      <c r="D317" s="192"/>
      <c r="E317" s="202"/>
      <c r="F317" s="202"/>
      <c r="G317" s="214"/>
      <c r="H317" s="214"/>
      <c r="I317" s="203"/>
      <c r="J317" s="203"/>
      <c r="K317" s="204"/>
      <c r="L317" s="130"/>
    </row>
    <row r="318" spans="1:12">
      <c r="A318" s="189"/>
      <c r="B318" s="191"/>
      <c r="C318" s="191"/>
      <c r="D318" s="192"/>
      <c r="E318" s="202"/>
      <c r="F318" s="202"/>
      <c r="G318" s="214"/>
      <c r="H318" s="214"/>
      <c r="I318" s="203"/>
      <c r="J318" s="203"/>
      <c r="K318" s="204"/>
      <c r="L318" s="130"/>
    </row>
    <row r="319" spans="1:12">
      <c r="A319" s="189"/>
      <c r="B319" s="191"/>
      <c r="C319" s="191"/>
      <c r="D319" s="192"/>
      <c r="E319" s="202"/>
      <c r="F319" s="202"/>
      <c r="G319" s="214"/>
      <c r="H319" s="214"/>
      <c r="I319" s="203"/>
      <c r="J319" s="203"/>
      <c r="K319" s="204"/>
      <c r="L319" s="130"/>
    </row>
    <row r="320" spans="1:12">
      <c r="A320" s="189"/>
      <c r="B320" s="191"/>
      <c r="C320" s="191"/>
      <c r="D320" s="192"/>
      <c r="E320" s="202"/>
      <c r="F320" s="202"/>
      <c r="G320" s="214"/>
      <c r="H320" s="214"/>
      <c r="I320" s="203"/>
      <c r="J320" s="203"/>
      <c r="K320" s="204"/>
      <c r="L320" s="130"/>
    </row>
    <row r="321" spans="1:12">
      <c r="A321" s="143"/>
      <c r="B321" s="144"/>
      <c r="C321" s="145"/>
      <c r="D321" s="143"/>
      <c r="E321" s="143"/>
      <c r="F321" s="143"/>
      <c r="G321" s="149"/>
      <c r="H321" s="149"/>
      <c r="I321" s="143"/>
      <c r="J321" s="146"/>
      <c r="K321" s="143"/>
      <c r="L321" s="147"/>
    </row>
    <row r="322" spans="1:12">
      <c r="A322" s="215"/>
      <c r="B322" s="216"/>
      <c r="C322" s="217"/>
      <c r="D322" s="215"/>
      <c r="E322" s="215"/>
      <c r="F322" s="215"/>
      <c r="G322" s="218"/>
      <c r="H322" s="218"/>
      <c r="I322" s="215"/>
      <c r="J322" s="219"/>
      <c r="K322" s="215"/>
      <c r="L322" s="220"/>
    </row>
    <row r="323" spans="1:12">
      <c r="A323" s="26"/>
      <c r="B323" s="27"/>
      <c r="C323" s="27"/>
      <c r="D323" s="110"/>
      <c r="E323" s="171"/>
      <c r="F323" s="202"/>
      <c r="G323" s="171"/>
      <c r="H323" s="171"/>
      <c r="I323" s="40"/>
      <c r="J323" s="40"/>
      <c r="K323" s="25"/>
      <c r="L323" s="130"/>
    </row>
    <row r="324" spans="1:12">
      <c r="A324" s="26"/>
      <c r="B324" s="27"/>
      <c r="C324" s="27"/>
      <c r="D324" s="110"/>
      <c r="E324" s="171"/>
      <c r="F324" s="171"/>
      <c r="G324" s="171"/>
      <c r="H324" s="171"/>
      <c r="I324" s="40"/>
      <c r="J324" s="40"/>
      <c r="K324" s="25"/>
      <c r="L324" s="130"/>
    </row>
    <row r="325" spans="1:12">
      <c r="A325" s="26"/>
      <c r="B325" s="114"/>
      <c r="C325" s="27"/>
      <c r="D325" s="110"/>
      <c r="E325" s="171"/>
      <c r="F325" s="202"/>
      <c r="G325" s="171"/>
      <c r="H325" s="171"/>
      <c r="I325" s="40"/>
      <c r="J325" s="40"/>
      <c r="K325" s="25"/>
      <c r="L325" s="130"/>
    </row>
    <row r="326" spans="1:12">
      <c r="A326" s="26"/>
      <c r="B326" s="27"/>
      <c r="C326" s="27"/>
      <c r="D326" s="110"/>
      <c r="E326" s="171"/>
      <c r="F326" s="202"/>
      <c r="G326" s="171"/>
      <c r="H326" s="171"/>
      <c r="I326" s="40"/>
      <c r="J326" s="40"/>
      <c r="K326" s="25"/>
      <c r="L326" s="130"/>
    </row>
    <row r="327" spans="1:12">
      <c r="A327" s="26"/>
      <c r="B327" s="114"/>
      <c r="C327" s="27"/>
      <c r="D327" s="110"/>
      <c r="E327" s="171"/>
      <c r="F327" s="171"/>
      <c r="G327" s="171"/>
      <c r="H327" s="171"/>
      <c r="I327" s="40"/>
      <c r="J327" s="40"/>
      <c r="K327" s="25"/>
      <c r="L327" s="130"/>
    </row>
    <row r="328" spans="1:12">
      <c r="A328" s="26"/>
      <c r="B328" s="114"/>
      <c r="C328" s="27"/>
      <c r="D328" s="110"/>
      <c r="E328" s="171"/>
      <c r="F328" s="171"/>
      <c r="G328" s="171"/>
      <c r="H328" s="171"/>
      <c r="I328" s="40"/>
      <c r="J328" s="40"/>
      <c r="K328" s="25"/>
      <c r="L328" s="130"/>
    </row>
    <row r="329" spans="1:12">
      <c r="A329" s="26"/>
      <c r="B329" s="114"/>
      <c r="C329" s="27"/>
      <c r="D329" s="110"/>
      <c r="E329" s="171"/>
      <c r="F329" s="171"/>
      <c r="G329" s="171"/>
      <c r="H329" s="171"/>
      <c r="I329" s="40"/>
      <c r="J329" s="40"/>
      <c r="K329" s="25"/>
      <c r="L329" s="130"/>
    </row>
    <row r="330" spans="1:12">
      <c r="A330" s="26"/>
      <c r="B330" s="114"/>
      <c r="C330" s="27"/>
      <c r="D330" s="110"/>
      <c r="E330" s="171"/>
      <c r="F330" s="171"/>
      <c r="G330" s="171"/>
      <c r="H330" s="171"/>
      <c r="I330" s="40"/>
      <c r="J330" s="40"/>
      <c r="K330" s="25"/>
      <c r="L330" s="130"/>
    </row>
    <row r="331" spans="1:12">
      <c r="A331" s="26"/>
      <c r="B331" s="114"/>
      <c r="C331" s="27"/>
      <c r="D331" s="110"/>
      <c r="E331" s="171"/>
      <c r="F331" s="171"/>
      <c r="G331" s="171"/>
      <c r="H331" s="171"/>
      <c r="I331" s="40"/>
      <c r="J331" s="40"/>
      <c r="K331" s="25"/>
      <c r="L331" s="130"/>
    </row>
    <row r="332" spans="1:12">
      <c r="A332" s="26"/>
      <c r="B332" s="114"/>
      <c r="C332" s="27"/>
      <c r="D332" s="110"/>
      <c r="E332" s="171"/>
      <c r="F332" s="171"/>
      <c r="G332" s="171"/>
      <c r="H332" s="171"/>
      <c r="I332" s="40"/>
      <c r="J332" s="40"/>
      <c r="K332" s="25"/>
      <c r="L332" s="130"/>
    </row>
    <row r="333" spans="1:12">
      <c r="A333" s="26"/>
      <c r="B333" s="114"/>
      <c r="C333" s="27"/>
      <c r="D333" s="110"/>
      <c r="E333" s="171"/>
      <c r="F333" s="171"/>
      <c r="G333" s="171"/>
      <c r="H333" s="171"/>
      <c r="I333" s="40"/>
      <c r="J333" s="40"/>
      <c r="K333" s="25"/>
      <c r="L333" s="130"/>
    </row>
    <row r="334" spans="1:12">
      <c r="A334" s="26"/>
      <c r="B334" s="114"/>
      <c r="C334" s="27"/>
      <c r="D334" s="110"/>
      <c r="E334" s="171"/>
      <c r="F334" s="171"/>
      <c r="G334" s="171"/>
      <c r="H334" s="171"/>
      <c r="I334" s="40"/>
      <c r="J334" s="40"/>
      <c r="K334" s="25"/>
      <c r="L334" s="130"/>
    </row>
    <row r="335" spans="1:12">
      <c r="A335" s="26"/>
      <c r="B335" s="114"/>
      <c r="C335" s="27"/>
      <c r="D335" s="110"/>
      <c r="E335" s="171"/>
      <c r="F335" s="171"/>
      <c r="G335" s="171"/>
      <c r="H335" s="171"/>
      <c r="I335" s="40"/>
      <c r="J335" s="40"/>
      <c r="K335" s="25"/>
      <c r="L335" s="130"/>
    </row>
    <row r="336" spans="1:12">
      <c r="A336" s="26"/>
      <c r="B336" s="114"/>
      <c r="C336" s="27"/>
      <c r="D336" s="110"/>
      <c r="E336" s="171"/>
      <c r="F336" s="202"/>
      <c r="G336" s="171"/>
      <c r="H336" s="171"/>
      <c r="I336" s="40"/>
      <c r="J336" s="40"/>
      <c r="K336" s="25"/>
      <c r="L336" s="130"/>
    </row>
    <row r="337" spans="1:12">
      <c r="A337" s="26"/>
      <c r="B337" s="114"/>
      <c r="C337" s="27"/>
      <c r="D337" s="110"/>
      <c r="E337" s="171"/>
      <c r="F337" s="202"/>
      <c r="G337" s="171"/>
      <c r="H337" s="171"/>
      <c r="I337" s="40"/>
      <c r="J337" s="40"/>
      <c r="K337" s="25"/>
      <c r="L337" s="130"/>
    </row>
    <row r="338" spans="1:12">
      <c r="A338" s="26"/>
      <c r="B338" s="114"/>
      <c r="C338" s="27"/>
      <c r="D338" s="110"/>
      <c r="E338" s="171"/>
      <c r="F338" s="202"/>
      <c r="G338" s="171"/>
      <c r="H338" s="171"/>
      <c r="I338" s="40"/>
      <c r="J338" s="40"/>
      <c r="K338" s="25"/>
      <c r="L338" s="130"/>
    </row>
    <row r="339" spans="1:12">
      <c r="A339" s="26"/>
      <c r="B339" s="114"/>
      <c r="C339" s="27"/>
      <c r="D339" s="110"/>
      <c r="E339" s="171"/>
      <c r="F339" s="202"/>
      <c r="G339" s="171"/>
      <c r="H339" s="171"/>
      <c r="I339" s="40"/>
      <c r="J339" s="40"/>
      <c r="K339" s="25"/>
      <c r="L339" s="130"/>
    </row>
    <row r="340" spans="1:12">
      <c r="A340" s="26"/>
      <c r="B340" s="114"/>
      <c r="C340" s="27"/>
      <c r="D340" s="110"/>
      <c r="E340" s="171"/>
      <c r="F340" s="202"/>
      <c r="G340" s="171"/>
      <c r="H340" s="171"/>
      <c r="I340" s="40"/>
      <c r="J340" s="40"/>
      <c r="K340" s="25"/>
      <c r="L340" s="130"/>
    </row>
    <row r="341" spans="1:12">
      <c r="A341" s="26"/>
      <c r="B341" s="114"/>
      <c r="C341" s="27"/>
      <c r="D341" s="110"/>
      <c r="E341" s="171"/>
      <c r="F341" s="202"/>
      <c r="G341" s="171"/>
      <c r="H341" s="171"/>
      <c r="I341" s="40"/>
      <c r="J341" s="40"/>
      <c r="K341" s="25"/>
      <c r="L341" s="130"/>
    </row>
    <row r="342" spans="1:12">
      <c r="A342" s="26"/>
      <c r="B342" s="27"/>
      <c r="C342" s="27"/>
      <c r="D342" s="110"/>
      <c r="E342" s="171"/>
      <c r="F342" s="171"/>
      <c r="G342" s="171"/>
      <c r="H342" s="171"/>
      <c r="I342" s="40"/>
      <c r="J342" s="40"/>
      <c r="K342" s="25"/>
      <c r="L342" s="130"/>
    </row>
    <row r="343" spans="1:12">
      <c r="A343" s="26"/>
      <c r="B343" s="114"/>
      <c r="C343" s="27"/>
      <c r="D343" s="110"/>
      <c r="E343" s="171"/>
      <c r="F343" s="171"/>
      <c r="G343" s="171"/>
      <c r="H343" s="171"/>
      <c r="I343" s="40"/>
      <c r="J343" s="40"/>
      <c r="K343" s="25"/>
      <c r="L343" s="130"/>
    </row>
    <row r="344" spans="1:12">
      <c r="A344" s="26"/>
      <c r="B344" s="27"/>
      <c r="C344" s="27"/>
      <c r="D344" s="110"/>
      <c r="E344" s="170"/>
      <c r="F344" s="170"/>
      <c r="G344" s="170"/>
      <c r="H344" s="170"/>
      <c r="I344" s="40"/>
      <c r="J344" s="40"/>
      <c r="K344" s="25"/>
      <c r="L344" s="130"/>
    </row>
    <row r="345" spans="1:12">
      <c r="A345" s="26"/>
      <c r="B345" s="27"/>
      <c r="C345" s="27"/>
      <c r="D345" s="110"/>
      <c r="E345" s="171"/>
      <c r="F345" s="171"/>
      <c r="G345" s="171"/>
      <c r="H345" s="171"/>
      <c r="I345" s="40"/>
      <c r="J345" s="40"/>
      <c r="K345" s="25"/>
      <c r="L345" s="130"/>
    </row>
    <row r="346" spans="1:12">
      <c r="A346" s="26"/>
      <c r="B346" s="114"/>
      <c r="C346" s="27"/>
      <c r="D346" s="110"/>
      <c r="E346" s="171"/>
      <c r="F346" s="202"/>
      <c r="G346" s="171"/>
      <c r="H346" s="171"/>
      <c r="I346" s="40"/>
      <c r="J346" s="40"/>
      <c r="K346" s="25"/>
      <c r="L346" s="130"/>
    </row>
    <row r="347" spans="1:12">
      <c r="A347" s="26"/>
      <c r="B347" s="114"/>
      <c r="C347" s="27"/>
      <c r="D347" s="110"/>
      <c r="E347" s="171"/>
      <c r="F347" s="202"/>
      <c r="G347" s="171"/>
      <c r="H347" s="171"/>
      <c r="I347" s="40"/>
      <c r="J347" s="40"/>
      <c r="K347" s="25"/>
      <c r="L347" s="130"/>
    </row>
    <row r="348" spans="1:12">
      <c r="A348" s="26"/>
      <c r="B348" s="114"/>
      <c r="C348" s="27"/>
      <c r="D348" s="110"/>
      <c r="E348" s="171"/>
      <c r="F348" s="171"/>
      <c r="G348" s="171"/>
      <c r="H348" s="171"/>
      <c r="I348" s="40"/>
      <c r="J348" s="40"/>
      <c r="K348" s="25"/>
      <c r="L348" s="130"/>
    </row>
    <row r="349" spans="1:12">
      <c r="A349" s="26"/>
      <c r="B349" s="114"/>
      <c r="C349" s="27"/>
      <c r="D349" s="110"/>
      <c r="E349" s="171"/>
      <c r="F349" s="171"/>
      <c r="G349" s="171"/>
      <c r="H349" s="171"/>
      <c r="I349" s="40"/>
      <c r="J349" s="40"/>
      <c r="K349" s="25"/>
      <c r="L349" s="130"/>
    </row>
    <row r="350" spans="1:12">
      <c r="A350" s="26"/>
      <c r="B350" s="114"/>
      <c r="C350" s="27"/>
      <c r="D350" s="110"/>
      <c r="E350" s="171"/>
      <c r="F350" s="171"/>
      <c r="G350" s="171"/>
      <c r="H350" s="171"/>
      <c r="I350" s="40"/>
      <c r="J350" s="40"/>
      <c r="K350" s="25"/>
      <c r="L350" s="130"/>
    </row>
    <row r="351" spans="1:12">
      <c r="A351" s="215"/>
      <c r="B351" s="216"/>
      <c r="C351" s="217"/>
      <c r="D351" s="215"/>
      <c r="E351" s="215"/>
      <c r="F351" s="215"/>
      <c r="G351" s="218"/>
      <c r="H351" s="218"/>
      <c r="I351" s="215"/>
      <c r="J351" s="219"/>
      <c r="K351" s="215"/>
      <c r="L351" s="220"/>
    </row>
    <row r="352" spans="1:12">
      <c r="A352" s="189"/>
      <c r="B352" s="191"/>
      <c r="C352" s="191"/>
      <c r="D352" s="192"/>
      <c r="E352" s="202"/>
      <c r="F352" s="202"/>
      <c r="G352" s="202"/>
      <c r="H352" s="202"/>
      <c r="I352" s="203"/>
      <c r="J352" s="203"/>
      <c r="K352" s="204"/>
      <c r="L352" s="130"/>
    </row>
    <row r="353" spans="1:12">
      <c r="A353" s="26"/>
      <c r="B353" s="27"/>
      <c r="C353" s="27"/>
      <c r="D353" s="110"/>
      <c r="E353" s="171"/>
      <c r="F353" s="171"/>
      <c r="G353" s="171"/>
      <c r="H353" s="171"/>
      <c r="I353" s="40"/>
      <c r="J353" s="40"/>
      <c r="K353" s="25"/>
      <c r="L353" s="130"/>
    </row>
    <row r="354" spans="1:12">
      <c r="A354" s="26"/>
      <c r="B354" s="114"/>
      <c r="C354" s="27"/>
      <c r="D354" s="110"/>
      <c r="E354" s="171"/>
      <c r="F354" s="202"/>
      <c r="G354" s="171"/>
      <c r="H354" s="171"/>
      <c r="I354" s="40"/>
      <c r="J354" s="40"/>
      <c r="K354" s="25"/>
      <c r="L354" s="130"/>
    </row>
    <row r="355" spans="1:12">
      <c r="A355" s="26"/>
      <c r="B355" s="27"/>
      <c r="C355" s="27"/>
      <c r="D355" s="110"/>
      <c r="E355" s="171"/>
      <c r="F355" s="202"/>
      <c r="G355" s="171"/>
      <c r="H355" s="171"/>
      <c r="I355" s="40"/>
      <c r="J355" s="40"/>
      <c r="K355" s="25"/>
      <c r="L355" s="130"/>
    </row>
    <row r="356" spans="1:12">
      <c r="A356" s="26"/>
      <c r="B356" s="114"/>
      <c r="C356" s="27"/>
      <c r="D356" s="110"/>
      <c r="E356" s="171"/>
      <c r="F356" s="171"/>
      <c r="G356" s="171"/>
      <c r="H356" s="171"/>
      <c r="I356" s="40"/>
      <c r="J356" s="40"/>
      <c r="K356" s="25"/>
      <c r="L356" s="130"/>
    </row>
    <row r="357" spans="1:12">
      <c r="A357" s="26"/>
      <c r="B357" s="114"/>
      <c r="C357" s="27"/>
      <c r="D357" s="110"/>
      <c r="E357" s="171"/>
      <c r="F357" s="171"/>
      <c r="G357" s="171"/>
      <c r="H357" s="171"/>
      <c r="I357" s="40"/>
      <c r="J357" s="40"/>
      <c r="K357" s="25"/>
      <c r="L357" s="130"/>
    </row>
    <row r="358" spans="1:12">
      <c r="A358" s="26"/>
      <c r="B358" s="114"/>
      <c r="C358" s="27"/>
      <c r="D358" s="110"/>
      <c r="E358" s="171"/>
      <c r="F358" s="171"/>
      <c r="G358" s="171"/>
      <c r="H358" s="171"/>
      <c r="I358" s="40"/>
      <c r="J358" s="40"/>
      <c r="K358" s="25"/>
      <c r="L358" s="130"/>
    </row>
    <row r="359" spans="1:12">
      <c r="A359" s="26"/>
      <c r="B359" s="114"/>
      <c r="C359" s="27"/>
      <c r="D359" s="110"/>
      <c r="E359" s="171"/>
      <c r="F359" s="171"/>
      <c r="G359" s="171"/>
      <c r="H359" s="171"/>
      <c r="I359" s="40"/>
      <c r="J359" s="40"/>
      <c r="K359" s="25"/>
      <c r="L359" s="130"/>
    </row>
    <row r="360" spans="1:12">
      <c r="A360" s="26"/>
      <c r="B360" s="114"/>
      <c r="C360" s="27"/>
      <c r="D360" s="110"/>
      <c r="E360" s="171"/>
      <c r="F360" s="171"/>
      <c r="G360" s="171"/>
      <c r="H360" s="171"/>
      <c r="I360" s="40"/>
      <c r="J360" s="40"/>
      <c r="K360" s="25"/>
      <c r="L360" s="130"/>
    </row>
    <row r="361" spans="1:12">
      <c r="A361" s="26"/>
      <c r="B361" s="114"/>
      <c r="C361" s="27"/>
      <c r="D361" s="110"/>
      <c r="E361" s="171"/>
      <c r="F361" s="171"/>
      <c r="G361" s="171"/>
      <c r="H361" s="171"/>
      <c r="I361" s="40"/>
      <c r="J361" s="40"/>
      <c r="K361" s="25"/>
      <c r="L361" s="130"/>
    </row>
    <row r="362" spans="1:12">
      <c r="A362" s="26"/>
      <c r="B362" s="114"/>
      <c r="C362" s="27"/>
      <c r="D362" s="110"/>
      <c r="E362" s="171"/>
      <c r="F362" s="171"/>
      <c r="G362" s="171"/>
      <c r="H362" s="171"/>
      <c r="I362" s="40"/>
      <c r="J362" s="40"/>
      <c r="K362" s="25"/>
      <c r="L362" s="130"/>
    </row>
    <row r="363" spans="1:12">
      <c r="A363" s="26"/>
      <c r="B363" s="114"/>
      <c r="C363" s="27"/>
      <c r="D363" s="110"/>
      <c r="E363" s="171"/>
      <c r="F363" s="171"/>
      <c r="G363" s="171"/>
      <c r="H363" s="171"/>
      <c r="I363" s="40"/>
      <c r="J363" s="40"/>
      <c r="K363" s="25"/>
      <c r="L363" s="130"/>
    </row>
    <row r="364" spans="1:12">
      <c r="A364" s="26"/>
      <c r="B364" s="114"/>
      <c r="C364" s="27"/>
      <c r="D364" s="110"/>
      <c r="E364" s="171"/>
      <c r="F364" s="171"/>
      <c r="G364" s="171"/>
      <c r="H364" s="171"/>
      <c r="I364" s="40"/>
      <c r="J364" s="40"/>
      <c r="K364" s="25"/>
      <c r="L364" s="130"/>
    </row>
    <row r="365" spans="1:12">
      <c r="A365" s="26"/>
      <c r="B365" s="114"/>
      <c r="C365" s="27"/>
      <c r="D365" s="110"/>
      <c r="E365" s="171"/>
      <c r="F365" s="171"/>
      <c r="G365" s="171"/>
      <c r="H365" s="171"/>
      <c r="I365" s="40"/>
      <c r="J365" s="40"/>
      <c r="K365" s="25"/>
      <c r="L365" s="130"/>
    </row>
    <row r="366" spans="1:12">
      <c r="A366" s="26"/>
      <c r="B366" s="114"/>
      <c r="C366" s="27"/>
      <c r="D366" s="110"/>
      <c r="E366" s="171"/>
      <c r="F366" s="171"/>
      <c r="G366" s="171"/>
      <c r="H366" s="171"/>
      <c r="I366" s="40"/>
      <c r="J366" s="40"/>
      <c r="K366" s="25"/>
      <c r="L366" s="130"/>
    </row>
    <row r="367" spans="1:12">
      <c r="A367" s="26"/>
      <c r="B367" s="114"/>
      <c r="C367" s="27"/>
      <c r="D367" s="110"/>
      <c r="E367" s="171"/>
      <c r="F367" s="171"/>
      <c r="G367" s="171"/>
      <c r="H367" s="171"/>
      <c r="I367" s="40"/>
      <c r="J367" s="40"/>
      <c r="K367" s="25"/>
      <c r="L367" s="130"/>
    </row>
    <row r="368" spans="1:12">
      <c r="A368" s="26"/>
      <c r="B368" s="114"/>
      <c r="C368" s="27"/>
      <c r="D368" s="110"/>
      <c r="E368" s="171"/>
      <c r="F368" s="171"/>
      <c r="G368" s="171"/>
      <c r="H368" s="171"/>
      <c r="I368" s="40"/>
      <c r="J368" s="40"/>
      <c r="K368" s="25"/>
      <c r="L368" s="130"/>
    </row>
    <row r="369" spans="1:12">
      <c r="A369" s="26"/>
      <c r="B369" s="114"/>
      <c r="C369" s="27"/>
      <c r="D369" s="110"/>
      <c r="E369" s="171"/>
      <c r="F369" s="171"/>
      <c r="G369" s="171"/>
      <c r="H369" s="171"/>
      <c r="I369" s="40"/>
      <c r="J369" s="40"/>
      <c r="K369" s="25"/>
      <c r="L369" s="130"/>
    </row>
    <row r="370" spans="1:12">
      <c r="A370" s="26"/>
      <c r="B370" s="114"/>
      <c r="C370" s="27"/>
      <c r="D370" s="110"/>
      <c r="E370" s="171"/>
      <c r="F370" s="171"/>
      <c r="G370" s="171"/>
      <c r="H370" s="171"/>
      <c r="I370" s="40"/>
      <c r="J370" s="40"/>
      <c r="K370" s="25"/>
      <c r="L370" s="130"/>
    </row>
    <row r="371" spans="1:12">
      <c r="A371" s="26"/>
      <c r="B371" s="27"/>
      <c r="C371" s="27"/>
      <c r="D371" s="110"/>
      <c r="E371" s="171"/>
      <c r="F371" s="171"/>
      <c r="G371" s="171"/>
      <c r="H371" s="171"/>
      <c r="I371" s="40"/>
      <c r="J371" s="40"/>
      <c r="K371" s="25"/>
      <c r="L371" s="130"/>
    </row>
    <row r="372" spans="1:12">
      <c r="A372" s="26"/>
      <c r="B372" s="114"/>
      <c r="C372" s="27"/>
      <c r="D372" s="110"/>
      <c r="E372" s="171"/>
      <c r="F372" s="171"/>
      <c r="G372" s="171"/>
      <c r="H372" s="171"/>
      <c r="I372" s="40"/>
      <c r="J372" s="40"/>
      <c r="K372" s="25"/>
      <c r="L372" s="130"/>
    </row>
    <row r="373" spans="1:12">
      <c r="A373" s="26"/>
      <c r="B373" s="27"/>
      <c r="C373" s="27"/>
      <c r="D373" s="110"/>
      <c r="E373" s="171"/>
      <c r="F373" s="171"/>
      <c r="G373" s="171"/>
      <c r="H373" s="171"/>
      <c r="I373" s="40"/>
      <c r="J373" s="40"/>
      <c r="K373" s="25"/>
      <c r="L373" s="130"/>
    </row>
    <row r="374" spans="1:12">
      <c r="A374" s="26"/>
      <c r="B374" s="27"/>
      <c r="C374" s="27"/>
      <c r="D374" s="110"/>
      <c r="E374" s="171"/>
      <c r="F374" s="171"/>
      <c r="G374" s="171"/>
      <c r="H374" s="171"/>
      <c r="I374" s="40"/>
      <c r="J374" s="40"/>
      <c r="K374" s="25"/>
      <c r="L374" s="130"/>
    </row>
    <row r="375" spans="1:12">
      <c r="A375" s="26"/>
      <c r="B375" s="114"/>
      <c r="C375" s="27"/>
      <c r="D375" s="110"/>
      <c r="E375" s="171"/>
      <c r="F375" s="202"/>
      <c r="G375" s="171"/>
      <c r="H375" s="171"/>
      <c r="I375" s="40"/>
      <c r="J375" s="40"/>
      <c r="K375" s="25"/>
      <c r="L375" s="130"/>
    </row>
    <row r="376" spans="1:12">
      <c r="A376" s="26"/>
      <c r="B376" s="114"/>
      <c r="C376" s="27"/>
      <c r="D376" s="110"/>
      <c r="E376" s="171"/>
      <c r="F376" s="202"/>
      <c r="G376" s="171"/>
      <c r="H376" s="171"/>
      <c r="I376" s="40"/>
      <c r="J376" s="40"/>
      <c r="K376" s="25"/>
      <c r="L376" s="130"/>
    </row>
    <row r="377" spans="1:12">
      <c r="A377" s="26"/>
      <c r="B377" s="114"/>
      <c r="C377" s="27"/>
      <c r="D377" s="110"/>
      <c r="E377" s="171"/>
      <c r="F377" s="171"/>
      <c r="G377" s="171"/>
      <c r="H377" s="171"/>
      <c r="I377" s="40"/>
      <c r="J377" s="40"/>
      <c r="K377" s="25"/>
      <c r="L377" s="130"/>
    </row>
    <row r="378" spans="1:12">
      <c r="A378" s="26"/>
      <c r="B378" s="27"/>
      <c r="C378" s="27"/>
      <c r="D378" s="110"/>
      <c r="E378" s="171"/>
      <c r="F378" s="171"/>
      <c r="G378" s="171"/>
      <c r="H378" s="171"/>
      <c r="I378" s="40"/>
      <c r="J378" s="40"/>
      <c r="K378" s="25"/>
      <c r="L378" s="130"/>
    </row>
    <row r="379" spans="1:12">
      <c r="A379" s="26"/>
      <c r="B379" s="114"/>
      <c r="C379" s="27"/>
      <c r="D379" s="110"/>
      <c r="E379" s="171"/>
      <c r="F379" s="171"/>
      <c r="G379" s="171"/>
      <c r="H379" s="171"/>
      <c r="I379" s="40"/>
      <c r="J379" s="40"/>
      <c r="K379" s="25"/>
      <c r="L379" s="130"/>
    </row>
    <row r="380" spans="1:12">
      <c r="A380" s="107"/>
      <c r="B380" s="221"/>
      <c r="C380" s="222"/>
      <c r="D380" s="223"/>
      <c r="E380" s="221"/>
      <c r="F380" s="221"/>
      <c r="G380" s="221"/>
      <c r="H380" s="221"/>
      <c r="I380" s="221"/>
      <c r="J380" s="223"/>
      <c r="K380" s="223"/>
      <c r="L380" s="224"/>
    </row>
    <row r="381" spans="1:12">
      <c r="A381" s="26"/>
      <c r="B381" s="158"/>
      <c r="C381" s="27"/>
      <c r="D381" s="110"/>
      <c r="E381" s="111"/>
      <c r="F381" s="111"/>
      <c r="G381" s="111"/>
      <c r="H381" s="111"/>
      <c r="I381" s="40"/>
      <c r="J381" s="40"/>
      <c r="K381" s="25"/>
      <c r="L381" s="130"/>
    </row>
    <row r="382" spans="1:12">
      <c r="A382" s="26"/>
      <c r="B382" s="114"/>
      <c r="C382" s="27"/>
      <c r="D382" s="110"/>
      <c r="E382" s="111"/>
      <c r="F382" s="111"/>
      <c r="G382" s="111"/>
      <c r="H382" s="111"/>
      <c r="I382" s="40"/>
      <c r="J382" s="40"/>
      <c r="K382" s="25"/>
      <c r="L382" s="130"/>
    </row>
    <row r="383" spans="1:12">
      <c r="A383" s="26"/>
      <c r="B383" s="114"/>
      <c r="C383" s="27"/>
      <c r="D383" s="110"/>
      <c r="E383" s="111"/>
      <c r="F383" s="111"/>
      <c r="G383" s="111"/>
      <c r="H383" s="111"/>
      <c r="I383" s="40"/>
      <c r="J383" s="40"/>
      <c r="K383" s="25"/>
      <c r="L383" s="130"/>
    </row>
    <row r="384" spans="1:12">
      <c r="A384" s="26"/>
      <c r="B384" s="114"/>
      <c r="C384" s="27"/>
      <c r="D384" s="110"/>
      <c r="E384" s="111"/>
      <c r="F384" s="111"/>
      <c r="G384" s="111"/>
      <c r="H384" s="111"/>
      <c r="I384" s="40"/>
      <c r="J384" s="40"/>
      <c r="K384" s="25"/>
      <c r="L384" s="130"/>
    </row>
    <row r="385" spans="1:12">
      <c r="A385" s="26"/>
      <c r="B385" s="114"/>
      <c r="C385" s="27"/>
      <c r="D385" s="110"/>
      <c r="E385" s="111"/>
      <c r="F385" s="111"/>
      <c r="G385" s="111"/>
      <c r="H385" s="111"/>
      <c r="I385" s="40"/>
      <c r="J385" s="40"/>
      <c r="K385" s="25"/>
      <c r="L385" s="130"/>
    </row>
    <row r="386" spans="1:12">
      <c r="A386" s="26"/>
      <c r="B386" s="114"/>
      <c r="C386" s="27"/>
      <c r="D386" s="110"/>
      <c r="E386" s="111"/>
      <c r="F386" s="111"/>
      <c r="G386" s="111"/>
      <c r="H386" s="111"/>
      <c r="I386" s="40"/>
      <c r="J386" s="40"/>
      <c r="K386" s="25"/>
      <c r="L386" s="130"/>
    </row>
    <row r="387" spans="1:12">
      <c r="A387" s="107"/>
      <c r="B387" s="221"/>
      <c r="C387" s="222"/>
      <c r="D387" s="223"/>
      <c r="E387" s="221"/>
      <c r="F387" s="221"/>
      <c r="G387" s="221"/>
      <c r="H387" s="221"/>
      <c r="I387" s="221"/>
      <c r="J387" s="223"/>
      <c r="K387" s="223"/>
      <c r="L387" s="224"/>
    </row>
    <row r="388" spans="1:12">
      <c r="A388" s="26"/>
      <c r="B388" s="114"/>
      <c r="C388" s="114"/>
      <c r="D388" s="110"/>
      <c r="E388" s="111"/>
      <c r="F388" s="111"/>
      <c r="G388" s="111"/>
      <c r="H388" s="111"/>
      <c r="I388" s="40"/>
      <c r="J388" s="40"/>
      <c r="K388" s="25"/>
      <c r="L388" s="130"/>
    </row>
    <row r="389" spans="1:12">
      <c r="A389" s="26"/>
      <c r="B389" s="114"/>
      <c r="C389" s="114"/>
      <c r="D389" s="110"/>
      <c r="E389" s="111"/>
      <c r="F389" s="111"/>
      <c r="G389" s="111"/>
      <c r="H389" s="111"/>
      <c r="I389" s="40"/>
      <c r="J389" s="40"/>
      <c r="K389" s="25"/>
      <c r="L389" s="130"/>
    </row>
    <row r="390" spans="1:12">
      <c r="A390" s="26"/>
      <c r="B390" s="114"/>
      <c r="C390" s="114"/>
      <c r="D390" s="110"/>
      <c r="E390" s="111"/>
      <c r="F390" s="111"/>
      <c r="G390" s="111"/>
      <c r="H390" s="111"/>
      <c r="I390" s="40"/>
      <c r="J390" s="40"/>
      <c r="K390" s="25"/>
      <c r="L390" s="130"/>
    </row>
    <row r="391" spans="1:12">
      <c r="A391" s="107"/>
      <c r="B391" s="221"/>
      <c r="C391" s="222"/>
      <c r="D391" s="223"/>
      <c r="E391" s="221"/>
      <c r="F391" s="221"/>
      <c r="G391" s="221"/>
      <c r="H391" s="221"/>
      <c r="I391" s="221"/>
      <c r="J391" s="223"/>
      <c r="K391" s="223"/>
      <c r="L391" s="224"/>
    </row>
    <row r="392" spans="1:12">
      <c r="A392" s="26"/>
      <c r="B392" s="27"/>
      <c r="C392" s="27"/>
      <c r="D392" s="110"/>
      <c r="E392" s="111"/>
      <c r="F392" s="111"/>
      <c r="G392" s="111"/>
      <c r="H392" s="111"/>
      <c r="I392" s="40"/>
      <c r="J392" s="40"/>
      <c r="K392" s="25"/>
      <c r="L392" s="130"/>
    </row>
    <row r="393" spans="1:12">
      <c r="A393" s="26"/>
      <c r="B393" s="27"/>
      <c r="C393" s="27"/>
      <c r="D393" s="110"/>
      <c r="E393" s="111"/>
      <c r="F393" s="111"/>
      <c r="G393" s="111"/>
      <c r="H393" s="111"/>
      <c r="I393" s="40"/>
      <c r="J393" s="40"/>
      <c r="K393" s="25"/>
      <c r="L393" s="130"/>
    </row>
    <row r="394" spans="1:12">
      <c r="A394" s="26"/>
      <c r="B394" s="27"/>
      <c r="C394" s="27"/>
      <c r="D394" s="110"/>
      <c r="E394" s="111"/>
      <c r="F394" s="111"/>
      <c r="G394" s="111"/>
      <c r="H394" s="111"/>
      <c r="I394" s="40"/>
      <c r="J394" s="40"/>
      <c r="K394" s="25"/>
      <c r="L394" s="130"/>
    </row>
    <row r="395" spans="1:12">
      <c r="A395" s="107"/>
      <c r="B395" s="221"/>
      <c r="C395" s="222"/>
      <c r="D395" s="223"/>
      <c r="E395" s="221"/>
      <c r="F395" s="221"/>
      <c r="G395" s="221"/>
      <c r="H395" s="221"/>
      <c r="I395" s="221"/>
      <c r="J395" s="223"/>
      <c r="K395" s="223"/>
      <c r="L395" s="224"/>
    </row>
    <row r="396" spans="1:12">
      <c r="A396" s="26"/>
      <c r="B396" s="27"/>
      <c r="C396" s="27"/>
      <c r="D396" s="110"/>
      <c r="E396" s="111"/>
      <c r="F396" s="111"/>
      <c r="G396" s="111"/>
      <c r="H396" s="111"/>
      <c r="I396" s="40"/>
      <c r="J396" s="40"/>
      <c r="K396" s="25"/>
      <c r="L396" s="130"/>
    </row>
    <row r="397" spans="1:12">
      <c r="A397" s="26"/>
      <c r="B397" s="27"/>
      <c r="C397" s="27"/>
      <c r="D397" s="110"/>
      <c r="E397" s="111"/>
      <c r="F397" s="111"/>
      <c r="G397" s="111"/>
      <c r="H397" s="111"/>
      <c r="I397" s="40"/>
      <c r="J397" s="40"/>
      <c r="K397" s="25"/>
      <c r="L397" s="130"/>
    </row>
    <row r="398" spans="1:12">
      <c r="A398" s="26"/>
      <c r="B398" s="26"/>
      <c r="C398" s="27"/>
      <c r="D398" s="110"/>
      <c r="E398" s="111"/>
      <c r="F398" s="111"/>
      <c r="G398" s="111"/>
      <c r="H398" s="111"/>
      <c r="I398" s="40"/>
      <c r="J398" s="40"/>
      <c r="K398" s="25"/>
      <c r="L398" s="130"/>
    </row>
    <row r="399" spans="1:12">
      <c r="A399" s="26"/>
      <c r="B399" s="109"/>
      <c r="C399" s="27"/>
      <c r="D399" s="110"/>
      <c r="E399" s="111"/>
      <c r="F399" s="111"/>
      <c r="G399" s="111"/>
      <c r="H399" s="111"/>
      <c r="I399" s="40"/>
      <c r="J399" s="40"/>
      <c r="K399" s="25"/>
      <c r="L399" s="130"/>
    </row>
    <row r="400" spans="1:12">
      <c r="A400" s="177"/>
      <c r="B400" s="120"/>
      <c r="C400" s="121"/>
      <c r="D400" s="177"/>
      <c r="E400" s="178"/>
      <c r="F400" s="178"/>
      <c r="G400" s="178"/>
      <c r="H400" s="178"/>
      <c r="I400" s="177"/>
      <c r="J400" s="179"/>
      <c r="K400" s="179"/>
      <c r="L400" s="180"/>
    </row>
    <row r="401" spans="1:12">
      <c r="A401" s="26"/>
      <c r="B401" s="26"/>
      <c r="C401" s="26"/>
      <c r="D401" s="110"/>
      <c r="E401" s="171"/>
      <c r="F401" s="171"/>
      <c r="G401" s="171"/>
      <c r="H401" s="171"/>
      <c r="I401" s="40"/>
      <c r="J401" s="40"/>
      <c r="K401" s="25"/>
      <c r="L401" s="130"/>
    </row>
    <row r="402" spans="1:12">
      <c r="A402" s="26"/>
      <c r="B402" s="26"/>
      <c r="C402" s="26"/>
      <c r="D402" s="110"/>
      <c r="E402" s="171"/>
      <c r="F402" s="171"/>
      <c r="G402" s="171"/>
      <c r="H402" s="171"/>
      <c r="I402" s="40"/>
      <c r="J402" s="40"/>
      <c r="K402" s="25"/>
      <c r="L402" s="130"/>
    </row>
    <row r="403" spans="1:12">
      <c r="A403" s="177"/>
      <c r="B403" s="221"/>
      <c r="C403" s="107"/>
      <c r="D403" s="108"/>
      <c r="E403" s="113"/>
      <c r="F403" s="113"/>
      <c r="G403" s="113"/>
      <c r="H403" s="113"/>
      <c r="I403" s="107"/>
      <c r="J403" s="108"/>
      <c r="K403" s="108"/>
      <c r="L403" s="180"/>
    </row>
    <row r="404" spans="1:12">
      <c r="A404" s="26"/>
      <c r="B404" s="109"/>
      <c r="C404" s="26"/>
      <c r="D404" s="110"/>
      <c r="E404" s="202"/>
      <c r="F404" s="202"/>
      <c r="G404" s="111"/>
      <c r="H404" s="111"/>
      <c r="I404" s="40"/>
      <c r="J404" s="40"/>
      <c r="K404" s="25"/>
      <c r="L404" s="130"/>
    </row>
    <row r="405" spans="1:12">
      <c r="A405" s="26"/>
      <c r="B405" s="109"/>
      <c r="C405" s="26"/>
      <c r="D405" s="110"/>
      <c r="E405" s="202"/>
      <c r="F405" s="202"/>
      <c r="G405" s="111"/>
      <c r="H405" s="111"/>
      <c r="I405" s="40"/>
      <c r="J405" s="40"/>
      <c r="K405" s="25"/>
      <c r="L405" s="130"/>
    </row>
    <row r="406" spans="1:12">
      <c r="A406" s="26"/>
      <c r="B406" s="109"/>
      <c r="C406" s="26"/>
      <c r="D406" s="110"/>
      <c r="E406" s="202"/>
      <c r="F406" s="202"/>
      <c r="G406" s="111"/>
      <c r="H406" s="111"/>
      <c r="I406" s="40"/>
      <c r="J406" s="40"/>
      <c r="K406" s="25"/>
      <c r="L406" s="130"/>
    </row>
    <row r="407" spans="1:12">
      <c r="A407" s="26"/>
      <c r="B407" s="109"/>
      <c r="C407" s="26"/>
      <c r="D407" s="110"/>
      <c r="E407" s="202"/>
      <c r="F407" s="202"/>
      <c r="G407" s="111"/>
      <c r="H407" s="111"/>
      <c r="I407" s="40"/>
      <c r="J407" s="40"/>
      <c r="K407" s="25"/>
      <c r="L407" s="130"/>
    </row>
    <row r="408" spans="1:12">
      <c r="A408" s="26"/>
      <c r="B408" s="109"/>
      <c r="C408" s="26"/>
      <c r="D408" s="110"/>
      <c r="E408" s="202"/>
      <c r="F408" s="202"/>
      <c r="G408" s="111"/>
      <c r="H408" s="111"/>
      <c r="I408" s="40"/>
      <c r="J408" s="40"/>
      <c r="K408" s="25"/>
      <c r="L408" s="130"/>
    </row>
    <row r="409" spans="1:12">
      <c r="A409" s="26"/>
      <c r="B409" s="109"/>
      <c r="C409" s="26"/>
      <c r="D409" s="110"/>
      <c r="E409" s="202"/>
      <c r="F409" s="202"/>
      <c r="G409" s="111"/>
      <c r="H409" s="111"/>
      <c r="I409" s="40"/>
      <c r="J409" s="40"/>
      <c r="K409" s="25"/>
      <c r="L409" s="130"/>
    </row>
    <row r="410" spans="1:12">
      <c r="A410" s="26"/>
      <c r="B410" s="109"/>
      <c r="C410" s="26"/>
      <c r="D410" s="110"/>
      <c r="E410" s="171"/>
      <c r="F410" s="202"/>
      <c r="G410" s="111"/>
      <c r="H410" s="111"/>
      <c r="I410" s="40"/>
      <c r="J410" s="40"/>
      <c r="K410" s="25"/>
      <c r="L410" s="130"/>
    </row>
    <row r="411" spans="1:12">
      <c r="A411" s="143"/>
      <c r="B411" s="221"/>
      <c r="C411" s="107"/>
      <c r="D411" s="108"/>
      <c r="E411" s="113"/>
      <c r="F411" s="113"/>
      <c r="G411" s="107"/>
      <c r="H411" s="107"/>
      <c r="I411" s="108"/>
      <c r="J411" s="225"/>
      <c r="K411" s="108"/>
      <c r="L411" s="180"/>
    </row>
    <row r="412" spans="1:12">
      <c r="A412" s="26"/>
      <c r="B412" s="26"/>
      <c r="C412" s="27"/>
      <c r="D412" s="110"/>
      <c r="E412" s="111"/>
      <c r="F412" s="111"/>
      <c r="G412" s="111"/>
      <c r="H412" s="111"/>
      <c r="I412" s="40"/>
      <c r="J412" s="40"/>
      <c r="K412" s="25"/>
      <c r="L412" s="130"/>
    </row>
    <row r="413" spans="1:12">
      <c r="A413" s="26"/>
      <c r="B413" s="26"/>
      <c r="C413" s="27"/>
      <c r="D413" s="110"/>
      <c r="E413" s="111"/>
      <c r="F413" s="111"/>
      <c r="G413" s="111"/>
      <c r="H413" s="111"/>
      <c r="I413" s="40"/>
      <c r="J413" s="40"/>
      <c r="K413" s="25"/>
      <c r="L413" s="130"/>
    </row>
    <row r="414" spans="1:12">
      <c r="A414" s="26"/>
      <c r="B414" s="26"/>
      <c r="C414" s="27"/>
      <c r="D414" s="110"/>
      <c r="E414" s="111"/>
      <c r="F414" s="111"/>
      <c r="G414" s="111"/>
      <c r="H414" s="111"/>
      <c r="I414" s="40"/>
      <c r="J414" s="40"/>
      <c r="K414" s="25"/>
      <c r="L414" s="130"/>
    </row>
    <row r="415" spans="1:12">
      <c r="A415" s="26"/>
      <c r="B415" s="26"/>
      <c r="C415" s="27"/>
      <c r="D415" s="110"/>
      <c r="E415" s="111"/>
      <c r="F415" s="111"/>
      <c r="G415" s="111"/>
      <c r="H415" s="111"/>
      <c r="I415" s="40"/>
      <c r="J415" s="40"/>
      <c r="K415" s="25"/>
      <c r="L415" s="130"/>
    </row>
    <row r="416" spans="1:12">
      <c r="A416" s="26"/>
      <c r="B416" s="26"/>
      <c r="C416" s="27"/>
      <c r="D416" s="110"/>
      <c r="E416" s="111"/>
      <c r="F416" s="111"/>
      <c r="G416" s="111"/>
      <c r="H416" s="111"/>
      <c r="I416" s="40"/>
      <c r="J416" s="40"/>
      <c r="K416" s="25"/>
      <c r="L416" s="130"/>
    </row>
    <row r="417" spans="1:12">
      <c r="A417" s="26"/>
      <c r="B417" s="26"/>
      <c r="C417" s="27"/>
      <c r="D417" s="110"/>
      <c r="E417" s="111"/>
      <c r="F417" s="111"/>
      <c r="G417" s="111"/>
      <c r="H417" s="111"/>
      <c r="I417" s="40"/>
      <c r="J417" s="40"/>
      <c r="K417" s="25"/>
      <c r="L417" s="130"/>
    </row>
    <row r="418" spans="1:12">
      <c r="A418" s="107"/>
      <c r="B418" s="144"/>
      <c r="C418" s="145"/>
      <c r="D418" s="143"/>
      <c r="E418" s="178"/>
      <c r="F418" s="178"/>
      <c r="G418" s="149"/>
      <c r="H418" s="149"/>
      <c r="I418" s="143"/>
      <c r="J418" s="146"/>
      <c r="K418" s="146"/>
      <c r="L418" s="224"/>
    </row>
    <row r="419" spans="1:12">
      <c r="A419" s="26"/>
      <c r="B419" s="27"/>
      <c r="C419" s="27"/>
      <c r="D419" s="110"/>
      <c r="E419" s="111"/>
      <c r="F419" s="111"/>
      <c r="G419" s="111"/>
      <c r="H419" s="111"/>
      <c r="I419" s="112"/>
      <c r="J419" s="40"/>
      <c r="K419" s="25"/>
      <c r="L419" s="130"/>
    </row>
    <row r="420" spans="1:12">
      <c r="A420" s="26"/>
      <c r="B420" s="27"/>
      <c r="C420" s="27"/>
      <c r="D420" s="110"/>
      <c r="E420" s="111"/>
      <c r="F420" s="111"/>
      <c r="G420" s="111"/>
      <c r="H420" s="111"/>
      <c r="I420" s="112"/>
      <c r="J420" s="40"/>
      <c r="K420" s="25"/>
      <c r="L420" s="226"/>
    </row>
    <row r="421" spans="1:12">
      <c r="A421" s="26"/>
      <c r="B421" s="27"/>
      <c r="C421" s="27"/>
      <c r="D421" s="110"/>
      <c r="E421" s="111"/>
      <c r="F421" s="111"/>
      <c r="G421" s="111"/>
      <c r="H421" s="111"/>
      <c r="I421" s="112"/>
      <c r="J421" s="40"/>
      <c r="K421" s="25"/>
      <c r="L421" s="130"/>
    </row>
    <row r="422" spans="1:12">
      <c r="A422" s="26"/>
      <c r="B422" s="27"/>
      <c r="C422" s="27"/>
      <c r="D422" s="110"/>
      <c r="E422" s="111"/>
      <c r="F422" s="111"/>
      <c r="G422" s="111"/>
      <c r="H422" s="111"/>
      <c r="I422" s="112"/>
      <c r="J422" s="40"/>
      <c r="K422" s="25"/>
      <c r="L422" s="130"/>
    </row>
    <row r="423" spans="1:12">
      <c r="A423" s="26"/>
      <c r="B423" s="26"/>
      <c r="C423" s="26"/>
      <c r="D423" s="110"/>
      <c r="E423" s="111"/>
      <c r="F423" s="111"/>
      <c r="G423" s="111"/>
      <c r="H423" s="111"/>
      <c r="I423" s="112"/>
      <c r="J423" s="40"/>
      <c r="K423" s="25"/>
      <c r="L423" s="27"/>
    </row>
    <row r="424" spans="1:12">
      <c r="A424" s="26"/>
      <c r="B424" s="26"/>
      <c r="C424" s="26"/>
      <c r="D424" s="110"/>
      <c r="E424" s="111"/>
      <c r="F424" s="111"/>
      <c r="G424" s="111"/>
      <c r="H424" s="111"/>
      <c r="I424" s="112"/>
      <c r="J424" s="40"/>
      <c r="K424" s="25"/>
      <c r="L424" s="27"/>
    </row>
    <row r="425" spans="1:12">
      <c r="A425" s="26"/>
      <c r="B425" s="26"/>
      <c r="C425" s="26"/>
      <c r="D425" s="110"/>
      <c r="E425" s="111"/>
      <c r="F425" s="111"/>
      <c r="G425" s="111"/>
      <c r="H425" s="111"/>
      <c r="I425" s="112"/>
      <c r="J425" s="40"/>
      <c r="K425" s="25"/>
      <c r="L425" s="26"/>
    </row>
    <row r="426" spans="1:12">
      <c r="A426" s="26"/>
      <c r="B426" s="27"/>
      <c r="C426" s="26"/>
      <c r="D426" s="110"/>
      <c r="E426" s="111"/>
      <c r="F426" s="111"/>
      <c r="G426" s="111"/>
      <c r="H426" s="111"/>
      <c r="I426" s="112"/>
      <c r="J426" s="40"/>
      <c r="K426" s="25"/>
      <c r="L426" s="26"/>
    </row>
    <row r="427" spans="1:12">
      <c r="A427" s="26"/>
      <c r="B427" s="27"/>
      <c r="C427" s="26"/>
      <c r="D427" s="110"/>
      <c r="E427" s="111"/>
      <c r="F427" s="111"/>
      <c r="G427" s="111"/>
      <c r="H427" s="111"/>
      <c r="I427" s="112"/>
      <c r="J427" s="40"/>
      <c r="K427" s="25"/>
      <c r="L427" s="27"/>
    </row>
    <row r="428" spans="1:12">
      <c r="A428" s="26"/>
      <c r="B428" s="26"/>
      <c r="C428" s="26"/>
      <c r="D428" s="110"/>
      <c r="E428" s="111"/>
      <c r="F428" s="111"/>
      <c r="G428" s="111"/>
      <c r="H428" s="111"/>
      <c r="I428" s="112"/>
      <c r="J428" s="40"/>
      <c r="K428" s="25"/>
      <c r="L428" s="26"/>
    </row>
    <row r="429" spans="1:12">
      <c r="A429" s="26"/>
      <c r="B429" s="26"/>
      <c r="C429" s="26"/>
      <c r="D429" s="110"/>
      <c r="E429" s="111"/>
      <c r="F429" s="111"/>
      <c r="G429" s="111"/>
      <c r="H429" s="111"/>
      <c r="I429" s="112"/>
      <c r="J429" s="40"/>
      <c r="K429" s="25"/>
      <c r="L429" s="26"/>
    </row>
    <row r="430" spans="1:12">
      <c r="A430" s="26"/>
      <c r="B430" s="27"/>
      <c r="C430" s="27"/>
      <c r="D430" s="110"/>
      <c r="E430" s="196"/>
      <c r="F430" s="196"/>
      <c r="G430" s="111"/>
      <c r="H430" s="111"/>
      <c r="I430" s="112"/>
      <c r="J430" s="40"/>
      <c r="K430" s="25"/>
      <c r="L430" s="130"/>
    </row>
    <row r="431" spans="1:12">
      <c r="A431" s="189"/>
      <c r="B431" s="189"/>
      <c r="C431" s="191"/>
      <c r="D431" s="192"/>
      <c r="E431" s="196"/>
      <c r="F431" s="196"/>
      <c r="G431" s="193"/>
      <c r="H431" s="193"/>
      <c r="I431" s="227"/>
      <c r="J431" s="203"/>
      <c r="K431" s="204"/>
      <c r="L431" s="130"/>
    </row>
    <row r="432" spans="1:12">
      <c r="A432" s="26"/>
      <c r="B432" s="27"/>
      <c r="C432" s="27"/>
      <c r="D432" s="110"/>
      <c r="E432" s="196"/>
      <c r="F432" s="196"/>
      <c r="G432" s="111"/>
      <c r="H432" s="111"/>
      <c r="I432" s="112"/>
      <c r="J432" s="40"/>
      <c r="K432" s="25"/>
      <c r="L432" s="130"/>
    </row>
    <row r="433" spans="1:12">
      <c r="A433" s="107"/>
      <c r="B433" s="228"/>
      <c r="C433" s="229"/>
      <c r="D433" s="230"/>
      <c r="E433" s="231"/>
      <c r="F433" s="231"/>
      <c r="G433" s="232"/>
      <c r="H433" s="232"/>
      <c r="I433" s="230"/>
      <c r="J433" s="233"/>
      <c r="K433" s="233"/>
      <c r="L433" s="224"/>
    </row>
    <row r="434" spans="1:12">
      <c r="A434" s="26"/>
      <c r="B434" s="27"/>
      <c r="C434" s="27"/>
      <c r="D434" s="110"/>
      <c r="E434" s="111"/>
      <c r="F434" s="111"/>
      <c r="G434" s="111"/>
      <c r="H434" s="111"/>
      <c r="I434" s="112"/>
      <c r="J434" s="25"/>
      <c r="K434" s="25"/>
      <c r="L434" s="130"/>
    </row>
    <row r="435" spans="1:12">
      <c r="A435" s="26"/>
      <c r="B435" s="27"/>
      <c r="C435" s="27"/>
      <c r="D435" s="110"/>
      <c r="E435" s="111"/>
      <c r="F435" s="111"/>
      <c r="G435" s="111"/>
      <c r="H435" s="111"/>
      <c r="I435" s="112"/>
      <c r="J435" s="25"/>
      <c r="K435" s="25"/>
      <c r="L435" s="130"/>
    </row>
    <row r="436" spans="1:12">
      <c r="A436" s="26"/>
      <c r="B436" s="27"/>
      <c r="C436" s="27"/>
      <c r="D436" s="110"/>
      <c r="E436" s="111"/>
      <c r="F436" s="111"/>
      <c r="G436" s="111"/>
      <c r="H436" s="111"/>
      <c r="I436" s="112"/>
      <c r="J436" s="25"/>
      <c r="K436" s="25"/>
      <c r="L436" s="130"/>
    </row>
    <row r="437" spans="1:12">
      <c r="A437" s="189"/>
      <c r="B437" s="191"/>
      <c r="C437" s="191"/>
      <c r="D437" s="192"/>
      <c r="E437" s="196"/>
      <c r="F437" s="196"/>
      <c r="G437" s="193"/>
      <c r="H437" s="234"/>
      <c r="I437" s="227"/>
      <c r="J437" s="204"/>
      <c r="K437" s="204"/>
      <c r="L437" s="130"/>
    </row>
    <row r="438" spans="1:12">
      <c r="A438" s="189"/>
      <c r="B438" s="191"/>
      <c r="C438" s="191"/>
      <c r="D438" s="192"/>
      <c r="E438" s="196"/>
      <c r="F438" s="196"/>
      <c r="G438" s="193"/>
      <c r="H438" s="234"/>
      <c r="I438" s="227"/>
      <c r="J438" s="204"/>
      <c r="K438" s="204"/>
      <c r="L438" s="130"/>
    </row>
    <row r="439" spans="1:12">
      <c r="A439" s="189"/>
      <c r="B439" s="189"/>
      <c r="C439" s="191"/>
      <c r="D439" s="192"/>
      <c r="E439" s="196"/>
      <c r="F439" s="196"/>
      <c r="G439" s="193"/>
      <c r="H439" s="234"/>
      <c r="I439" s="227"/>
      <c r="J439" s="204"/>
      <c r="K439" s="204"/>
      <c r="L439" s="130"/>
    </row>
    <row r="440" spans="1:12">
      <c r="A440" s="26"/>
      <c r="B440" s="114"/>
      <c r="C440" s="27"/>
      <c r="D440" s="110"/>
      <c r="E440" s="111"/>
      <c r="F440" s="196"/>
      <c r="G440" s="111"/>
      <c r="H440" s="235"/>
      <c r="I440" s="112"/>
      <c r="J440" s="25"/>
      <c r="K440" s="25"/>
      <c r="L440" s="130"/>
    </row>
    <row r="441" spans="1:12">
      <c r="A441" s="26"/>
      <c r="B441" s="27"/>
      <c r="C441" s="27"/>
      <c r="D441" s="110"/>
      <c r="E441" s="111"/>
      <c r="F441" s="111"/>
      <c r="G441" s="235"/>
      <c r="H441" s="235"/>
      <c r="I441" s="112"/>
      <c r="J441" s="25"/>
      <c r="K441" s="25"/>
      <c r="L441" s="130"/>
    </row>
    <row r="442" spans="1:12">
      <c r="A442" s="26"/>
      <c r="B442" s="27"/>
      <c r="C442" s="27"/>
      <c r="D442" s="110"/>
      <c r="E442" s="111"/>
      <c r="F442" s="111"/>
      <c r="G442" s="235"/>
      <c r="H442" s="235"/>
      <c r="I442" s="112"/>
      <c r="J442" s="25"/>
      <c r="K442" s="25"/>
      <c r="L442" s="130"/>
    </row>
    <row r="443" spans="1:12">
      <c r="A443" s="26"/>
      <c r="B443" s="27"/>
      <c r="C443" s="27"/>
      <c r="D443" s="110"/>
      <c r="E443" s="111"/>
      <c r="F443" s="111"/>
      <c r="G443" s="235"/>
      <c r="H443" s="235"/>
      <c r="I443" s="112"/>
      <c r="J443" s="25"/>
      <c r="K443" s="25"/>
    </row>
    <row r="444" spans="1:12">
      <c r="A444" s="26"/>
      <c r="B444" s="27"/>
      <c r="C444" s="27"/>
      <c r="D444" s="110"/>
      <c r="E444" s="196"/>
      <c r="F444" s="196"/>
      <c r="G444" s="235"/>
      <c r="H444" s="235"/>
      <c r="I444" s="112"/>
      <c r="J444" s="25"/>
      <c r="K444" s="25"/>
      <c r="L444" s="130"/>
    </row>
    <row r="445" spans="1:12">
      <c r="A445" s="189"/>
      <c r="B445" s="189"/>
      <c r="C445" s="191"/>
      <c r="D445" s="192"/>
      <c r="E445" s="196"/>
      <c r="F445" s="196"/>
      <c r="G445" s="234"/>
      <c r="H445" s="234"/>
      <c r="I445" s="227"/>
      <c r="J445" s="204"/>
      <c r="K445" s="204"/>
      <c r="L445" s="130"/>
    </row>
    <row r="446" spans="1:12">
      <c r="A446" s="26"/>
      <c r="B446" s="27"/>
      <c r="C446" s="27"/>
      <c r="D446" s="110"/>
      <c r="E446" s="111"/>
      <c r="F446" s="111"/>
      <c r="G446" s="111"/>
      <c r="H446" s="111"/>
      <c r="I446" s="112"/>
      <c r="J446" s="25"/>
      <c r="K446" s="25"/>
      <c r="L446" s="130"/>
    </row>
    <row r="447" spans="1:12">
      <c r="A447" s="26"/>
      <c r="B447" s="114"/>
      <c r="C447" s="27"/>
      <c r="D447" s="110"/>
      <c r="E447" s="111"/>
      <c r="F447" s="111"/>
      <c r="G447" s="111"/>
      <c r="H447" s="111"/>
      <c r="I447" s="112"/>
      <c r="J447" s="25"/>
      <c r="K447" s="25"/>
      <c r="L447" s="130"/>
    </row>
    <row r="448" spans="1:12">
      <c r="A448" s="26"/>
      <c r="B448" s="114"/>
      <c r="C448" s="27"/>
      <c r="D448" s="110"/>
      <c r="E448" s="111"/>
      <c r="F448" s="111"/>
      <c r="G448" s="111"/>
      <c r="H448" s="111"/>
      <c r="I448" s="112"/>
      <c r="J448" s="25"/>
      <c r="K448" s="25"/>
      <c r="L448" s="130"/>
    </row>
    <row r="449" spans="1:12">
      <c r="A449" s="26"/>
      <c r="B449" s="27"/>
      <c r="C449" s="27"/>
      <c r="D449" s="110"/>
      <c r="E449" s="196"/>
      <c r="F449" s="196"/>
      <c r="G449" s="235"/>
      <c r="H449" s="235"/>
      <c r="I449" s="112"/>
      <c r="J449" s="25"/>
      <c r="K449" s="25"/>
      <c r="L449" s="130"/>
    </row>
    <row r="450" spans="1:12">
      <c r="A450" s="26"/>
      <c r="B450" s="27"/>
      <c r="C450" s="27"/>
      <c r="D450" s="110"/>
      <c r="E450" s="196"/>
      <c r="F450" s="196"/>
      <c r="G450" s="235"/>
      <c r="H450" s="235"/>
      <c r="I450" s="112"/>
      <c r="J450" s="25"/>
      <c r="K450" s="25"/>
      <c r="L450" s="130"/>
    </row>
    <row r="451" spans="1:12">
      <c r="A451" s="189"/>
      <c r="B451" s="189"/>
      <c r="C451" s="191"/>
      <c r="D451" s="192"/>
      <c r="E451" s="196"/>
      <c r="F451" s="196"/>
      <c r="G451" s="234"/>
      <c r="H451" s="234"/>
      <c r="I451" s="227"/>
      <c r="J451" s="204"/>
      <c r="K451" s="204"/>
      <c r="L451" s="130"/>
    </row>
    <row r="452" spans="1:12">
      <c r="A452" s="26"/>
      <c r="B452" s="27"/>
      <c r="C452" s="27"/>
      <c r="D452" s="110"/>
      <c r="E452" s="111"/>
      <c r="F452" s="111"/>
      <c r="G452" s="235"/>
      <c r="H452" s="235"/>
      <c r="I452" s="112"/>
      <c r="J452" s="25"/>
      <c r="K452" s="25"/>
      <c r="L452" s="130"/>
    </row>
    <row r="453" spans="1:12">
      <c r="A453" s="26"/>
      <c r="B453" s="27"/>
      <c r="C453" s="27"/>
      <c r="D453" s="110"/>
      <c r="E453" s="111"/>
      <c r="F453" s="111"/>
      <c r="G453" s="235"/>
      <c r="H453" s="235"/>
      <c r="I453" s="112"/>
      <c r="J453" s="25"/>
      <c r="K453" s="25"/>
      <c r="L453" s="130"/>
    </row>
    <row r="454" spans="1:12">
      <c r="A454" s="26"/>
      <c r="B454" s="27"/>
      <c r="C454" s="27"/>
      <c r="D454" s="110"/>
      <c r="E454" s="111"/>
      <c r="F454" s="111"/>
      <c r="G454" s="235"/>
      <c r="H454" s="235"/>
      <c r="I454" s="112"/>
      <c r="J454" s="25"/>
      <c r="K454" s="25"/>
      <c r="L454" s="130"/>
    </row>
    <row r="455" spans="1:12">
      <c r="A455" s="26"/>
      <c r="B455" s="27"/>
      <c r="C455" s="27"/>
      <c r="D455" s="110"/>
      <c r="E455" s="196"/>
      <c r="F455" s="196"/>
      <c r="G455" s="235"/>
      <c r="H455" s="235"/>
      <c r="I455" s="112"/>
      <c r="J455" s="25"/>
      <c r="K455" s="25"/>
      <c r="L455" s="130"/>
    </row>
    <row r="456" spans="1:12">
      <c r="A456" s="26"/>
      <c r="B456" s="27"/>
      <c r="C456" s="27"/>
      <c r="D456" s="110"/>
      <c r="E456" s="196"/>
      <c r="F456" s="196"/>
      <c r="G456" s="235"/>
      <c r="H456" s="235"/>
      <c r="I456" s="112"/>
      <c r="J456" s="25"/>
      <c r="K456" s="25"/>
      <c r="L456" s="130"/>
    </row>
    <row r="457" spans="1:12">
      <c r="A457" s="189"/>
      <c r="B457" s="189"/>
      <c r="C457" s="191"/>
      <c r="D457" s="192"/>
      <c r="E457" s="196"/>
      <c r="F457" s="196"/>
      <c r="G457" s="234"/>
      <c r="H457" s="234"/>
      <c r="I457" s="227"/>
      <c r="J457" s="204"/>
      <c r="K457" s="204"/>
      <c r="L457" s="130"/>
    </row>
    <row r="458" spans="1:12">
      <c r="A458" s="26"/>
      <c r="B458" s="27"/>
      <c r="C458" s="27"/>
      <c r="D458" s="110"/>
      <c r="E458" s="111"/>
      <c r="F458" s="111"/>
      <c r="G458" s="111"/>
      <c r="H458" s="235"/>
      <c r="I458" s="112"/>
      <c r="J458" s="25"/>
      <c r="K458" s="25"/>
      <c r="L458" s="130"/>
    </row>
    <row r="459" spans="1:12">
      <c r="A459" s="26"/>
      <c r="B459" s="27"/>
      <c r="C459" s="27"/>
      <c r="D459" s="110"/>
      <c r="E459" s="111"/>
      <c r="F459" s="111"/>
      <c r="G459" s="111"/>
      <c r="H459" s="111"/>
      <c r="I459" s="112"/>
      <c r="J459" s="25"/>
      <c r="K459" s="25"/>
      <c r="L459" s="130"/>
    </row>
    <row r="460" spans="1:12">
      <c r="A460" s="26"/>
      <c r="B460" s="27"/>
      <c r="C460" s="27"/>
      <c r="D460" s="110"/>
      <c r="E460" s="111"/>
      <c r="F460" s="111"/>
      <c r="G460" s="111"/>
      <c r="H460" s="111"/>
      <c r="I460" s="112"/>
      <c r="J460" s="25"/>
      <c r="K460" s="25"/>
      <c r="L460" s="130"/>
    </row>
    <row r="461" spans="1:12">
      <c r="A461" s="26"/>
      <c r="B461" s="27"/>
      <c r="C461" s="27"/>
      <c r="D461" s="110"/>
      <c r="E461" s="196"/>
      <c r="F461" s="196"/>
      <c r="G461" s="235"/>
      <c r="H461" s="235"/>
      <c r="I461" s="112"/>
      <c r="J461" s="25"/>
      <c r="K461" s="25"/>
      <c r="L461" s="130"/>
    </row>
    <row r="462" spans="1:12">
      <c r="A462" s="26"/>
      <c r="B462" s="27"/>
      <c r="C462" s="27"/>
      <c r="D462" s="110"/>
      <c r="E462" s="196"/>
      <c r="F462" s="196"/>
      <c r="G462" s="235"/>
      <c r="H462" s="235"/>
      <c r="I462" s="112"/>
      <c r="J462" s="25"/>
      <c r="K462" s="25"/>
      <c r="L462" s="130"/>
    </row>
    <row r="463" spans="1:12">
      <c r="A463" s="189"/>
      <c r="B463" s="191"/>
      <c r="C463" s="191"/>
      <c r="D463" s="192"/>
      <c r="E463" s="196"/>
      <c r="F463" s="196"/>
      <c r="G463" s="234"/>
      <c r="H463" s="234"/>
      <c r="I463" s="227"/>
      <c r="J463" s="204"/>
      <c r="K463" s="204"/>
      <c r="L463" s="130"/>
    </row>
    <row r="464" spans="1:12">
      <c r="A464" s="107"/>
      <c r="B464" s="221"/>
      <c r="C464" s="107"/>
      <c r="D464" s="108"/>
      <c r="E464" s="113"/>
      <c r="F464" s="113"/>
      <c r="G464" s="113"/>
      <c r="H464" s="113"/>
      <c r="I464" s="107"/>
      <c r="J464" s="108"/>
      <c r="K464" s="108"/>
      <c r="L464" s="224"/>
    </row>
    <row r="465" spans="1:12">
      <c r="A465" s="26"/>
      <c r="B465" s="130"/>
      <c r="C465" s="26"/>
      <c r="D465" s="110"/>
      <c r="E465" s="171"/>
      <c r="F465" s="171"/>
      <c r="G465" s="171"/>
      <c r="H465" s="111"/>
      <c r="I465" s="40"/>
      <c r="J465" s="25"/>
      <c r="K465" s="25"/>
      <c r="L465" s="130"/>
    </row>
    <row r="466" spans="1:12">
      <c r="A466" s="107"/>
      <c r="B466" s="221"/>
      <c r="C466" s="107"/>
      <c r="D466" s="108"/>
      <c r="E466" s="113"/>
      <c r="F466" s="113"/>
      <c r="G466" s="113"/>
      <c r="H466" s="113"/>
      <c r="I466" s="107"/>
      <c r="J466" s="108"/>
      <c r="K466" s="108"/>
      <c r="L466" s="224"/>
    </row>
    <row r="467" spans="1:12">
      <c r="A467" s="26"/>
      <c r="B467" s="130"/>
      <c r="C467" s="26"/>
      <c r="D467" s="110"/>
      <c r="E467" s="131"/>
      <c r="F467" s="131"/>
      <c r="G467" s="131"/>
      <c r="H467" s="131"/>
      <c r="I467" s="40"/>
      <c r="J467" s="25"/>
      <c r="K467" s="25"/>
      <c r="L467" s="130"/>
    </row>
    <row r="468" spans="1:12">
      <c r="A468" s="26"/>
      <c r="B468" s="130"/>
      <c r="C468" s="26"/>
      <c r="D468" s="110"/>
      <c r="E468" s="131"/>
      <c r="F468" s="131"/>
      <c r="G468" s="131"/>
      <c r="H468" s="131"/>
      <c r="I468" s="40"/>
      <c r="J468" s="25"/>
      <c r="K468" s="25"/>
      <c r="L468" s="130"/>
    </row>
    <row r="469" spans="1:12">
      <c r="A469" s="26"/>
      <c r="B469" s="130"/>
      <c r="C469" s="26"/>
      <c r="D469" s="110"/>
      <c r="E469" s="131"/>
      <c r="F469" s="131"/>
      <c r="G469" s="131"/>
      <c r="H469" s="131"/>
      <c r="I469" s="40"/>
      <c r="J469" s="25"/>
      <c r="K469" s="25"/>
      <c r="L469" s="130"/>
    </row>
    <row r="470" spans="1:12">
      <c r="A470" s="26"/>
      <c r="B470" s="130"/>
      <c r="C470" s="26"/>
      <c r="D470" s="110"/>
      <c r="E470" s="131"/>
      <c r="F470" s="131"/>
      <c r="G470" s="131"/>
      <c r="H470" s="131"/>
      <c r="I470" s="40"/>
      <c r="J470" s="25"/>
      <c r="K470" s="25"/>
      <c r="L470" s="130"/>
    </row>
    <row r="471" spans="1:12">
      <c r="A471" s="26"/>
      <c r="B471" s="130"/>
      <c r="C471" s="26"/>
      <c r="D471" s="110"/>
      <c r="E471" s="131"/>
      <c r="F471" s="131"/>
      <c r="G471" s="131"/>
      <c r="H471" s="131"/>
      <c r="I471" s="40"/>
      <c r="J471" s="25"/>
      <c r="K471" s="25"/>
      <c r="L471" s="130"/>
    </row>
    <row r="472" spans="1:12">
      <c r="A472" s="138"/>
      <c r="B472" s="139"/>
      <c r="C472" s="183"/>
      <c r="D472" s="184"/>
      <c r="E472" s="185"/>
      <c r="F472" s="185"/>
      <c r="G472" s="185"/>
      <c r="H472" s="185"/>
      <c r="I472" s="184"/>
      <c r="J472" s="186"/>
      <c r="K472" s="186"/>
      <c r="L472" s="187"/>
    </row>
    <row r="473" spans="1:12">
      <c r="A473" s="26"/>
      <c r="B473" s="27"/>
      <c r="C473" s="27"/>
      <c r="D473" s="110"/>
      <c r="E473" s="111"/>
      <c r="F473" s="111"/>
      <c r="G473" s="111"/>
      <c r="H473" s="111"/>
      <c r="I473" s="40"/>
      <c r="J473" s="25"/>
      <c r="K473" s="25"/>
      <c r="L473" s="130"/>
    </row>
    <row r="474" spans="1:12">
      <c r="A474" s="26"/>
      <c r="B474" s="27"/>
      <c r="C474" s="27"/>
      <c r="D474" s="110"/>
      <c r="E474" s="111"/>
      <c r="F474" s="111"/>
      <c r="G474" s="111"/>
      <c r="H474" s="111"/>
      <c r="I474" s="40"/>
      <c r="J474" s="25"/>
      <c r="K474" s="25"/>
      <c r="L474" s="130"/>
    </row>
    <row r="475" spans="1:12">
      <c r="A475" s="26"/>
      <c r="B475" s="27"/>
      <c r="C475" s="27"/>
      <c r="D475" s="110"/>
      <c r="E475" s="111"/>
      <c r="F475" s="111"/>
      <c r="G475" s="111"/>
      <c r="H475" s="111"/>
      <c r="I475" s="40"/>
      <c r="J475" s="25"/>
      <c r="K475" s="25"/>
      <c r="L475" s="130"/>
    </row>
    <row r="476" spans="1:12">
      <c r="A476" s="138"/>
      <c r="B476" s="139"/>
      <c r="C476" s="188"/>
      <c r="D476" s="182"/>
      <c r="E476" s="185"/>
      <c r="F476" s="185"/>
      <c r="G476" s="185"/>
      <c r="H476" s="185"/>
      <c r="I476" s="184"/>
      <c r="J476" s="186"/>
      <c r="K476" s="184"/>
      <c r="L476" s="187"/>
    </row>
    <row r="477" spans="1:12">
      <c r="A477" s="26"/>
      <c r="B477" s="27"/>
      <c r="C477" s="27"/>
      <c r="D477" s="110"/>
      <c r="E477" s="196"/>
      <c r="F477" s="196"/>
      <c r="G477" s="111"/>
      <c r="H477" s="111"/>
      <c r="I477" s="40"/>
      <c r="J477" s="25"/>
      <c r="K477" s="25"/>
      <c r="L477" s="130"/>
    </row>
    <row r="478" spans="1:12">
      <c r="A478" s="26"/>
      <c r="B478" s="27"/>
      <c r="C478" s="27"/>
      <c r="D478" s="110"/>
      <c r="E478" s="196"/>
      <c r="F478" s="196"/>
      <c r="G478" s="111"/>
      <c r="H478" s="111"/>
      <c r="I478" s="40"/>
      <c r="J478" s="25"/>
      <c r="K478" s="25"/>
      <c r="L478" s="130"/>
    </row>
    <row r="479" spans="1:12">
      <c r="A479" s="105"/>
      <c r="B479" s="117"/>
      <c r="C479" s="106"/>
      <c r="D479" s="236"/>
      <c r="E479" s="118"/>
      <c r="F479" s="118"/>
      <c r="G479" s="118"/>
      <c r="H479" s="118"/>
      <c r="I479" s="237"/>
      <c r="J479" s="119"/>
      <c r="K479" s="119"/>
      <c r="L479" s="238"/>
    </row>
    <row r="480" spans="1:12">
      <c r="A480" s="239"/>
      <c r="B480" s="240"/>
      <c r="C480" s="241"/>
      <c r="D480" s="242"/>
      <c r="E480" s="243"/>
      <c r="F480" s="243"/>
      <c r="G480" s="243"/>
      <c r="H480" s="243"/>
      <c r="I480" s="244"/>
      <c r="J480" s="245"/>
      <c r="K480" s="245"/>
      <c r="L480" s="246"/>
    </row>
    <row r="481" spans="1:12">
      <c r="A481" s="26"/>
      <c r="B481" s="27"/>
      <c r="C481" s="27"/>
      <c r="D481" s="110"/>
      <c r="E481" s="111"/>
      <c r="F481" s="111"/>
      <c r="G481" s="111"/>
      <c r="H481" s="111"/>
      <c r="I481" s="40"/>
      <c r="J481" s="25"/>
      <c r="K481" s="25"/>
      <c r="L481" s="130"/>
    </row>
    <row r="482" spans="1:12">
      <c r="A482" s="26"/>
      <c r="B482" s="27"/>
      <c r="C482" s="27"/>
      <c r="D482" s="110"/>
      <c r="E482" s="111"/>
      <c r="F482" s="111"/>
      <c r="G482" s="111"/>
      <c r="H482" s="111"/>
      <c r="I482" s="40"/>
      <c r="J482" s="25"/>
      <c r="K482" s="25"/>
      <c r="L482" s="130"/>
    </row>
    <row r="483" spans="1:12">
      <c r="A483" s="26"/>
      <c r="B483" s="27"/>
      <c r="C483" s="27"/>
      <c r="D483" s="110"/>
      <c r="E483" s="111"/>
      <c r="F483" s="111"/>
      <c r="G483" s="111"/>
      <c r="H483" s="111"/>
      <c r="I483" s="40"/>
      <c r="J483" s="25"/>
      <c r="K483" s="25"/>
      <c r="L483" s="130"/>
    </row>
    <row r="484" spans="1:12">
      <c r="A484" s="26"/>
      <c r="B484" s="27"/>
      <c r="C484" s="27"/>
      <c r="D484" s="110"/>
      <c r="E484" s="111"/>
      <c r="F484" s="196"/>
      <c r="G484" s="111"/>
      <c r="H484" s="111"/>
      <c r="I484" s="40"/>
      <c r="J484" s="25"/>
      <c r="K484" s="25"/>
      <c r="L484" s="130"/>
    </row>
    <row r="485" spans="1:12">
      <c r="A485" s="239"/>
      <c r="B485" s="240"/>
      <c r="C485" s="241"/>
      <c r="D485" s="242"/>
      <c r="E485" s="243"/>
      <c r="F485" s="243"/>
      <c r="G485" s="243"/>
      <c r="H485" s="243"/>
      <c r="I485" s="244"/>
      <c r="J485" s="245"/>
      <c r="K485" s="245"/>
      <c r="L485" s="246"/>
    </row>
    <row r="486" spans="1:12">
      <c r="A486" s="26"/>
      <c r="B486" s="27"/>
      <c r="C486" s="27"/>
      <c r="D486" s="110"/>
      <c r="E486" s="111"/>
      <c r="F486" s="111"/>
      <c r="G486" s="111"/>
      <c r="H486" s="111"/>
      <c r="I486" s="40"/>
      <c r="J486" s="25"/>
      <c r="K486" s="25"/>
      <c r="L486" s="130"/>
    </row>
    <row r="487" spans="1:12">
      <c r="A487" s="26"/>
      <c r="B487" s="27"/>
      <c r="C487" s="27"/>
      <c r="D487" s="110"/>
      <c r="E487" s="111"/>
      <c r="F487" s="111"/>
      <c r="G487" s="111"/>
      <c r="H487" s="111"/>
      <c r="I487" s="40"/>
      <c r="J487" s="25"/>
      <c r="K487" s="25"/>
      <c r="L487" s="130"/>
    </row>
    <row r="488" spans="1:12">
      <c r="A488" s="26"/>
      <c r="B488" s="27"/>
      <c r="C488" s="27"/>
      <c r="D488" s="110"/>
      <c r="E488" s="111"/>
      <c r="F488" s="196"/>
      <c r="G488" s="129"/>
      <c r="H488" s="111"/>
      <c r="I488" s="40"/>
      <c r="J488" s="25"/>
      <c r="K488" s="25"/>
      <c r="L488" s="130"/>
    </row>
    <row r="489" spans="1:12">
      <c r="A489" s="26"/>
      <c r="B489" s="27"/>
      <c r="C489" s="27"/>
      <c r="D489" s="110"/>
      <c r="E489" s="111"/>
      <c r="F489" s="129"/>
      <c r="G489" s="111"/>
      <c r="H489" s="129"/>
      <c r="I489" s="40"/>
      <c r="J489" s="25"/>
      <c r="K489" s="25"/>
      <c r="L489" s="130"/>
    </row>
    <row r="490" spans="1:12">
      <c r="A490" s="189"/>
      <c r="B490" s="191"/>
      <c r="C490" s="191"/>
      <c r="D490" s="192"/>
      <c r="E490" s="193"/>
      <c r="F490" s="193"/>
      <c r="G490" s="193"/>
      <c r="H490" s="193"/>
      <c r="I490" s="203"/>
      <c r="J490" s="204"/>
      <c r="K490" s="204"/>
      <c r="L490" s="130"/>
    </row>
    <row r="491" spans="1:12">
      <c r="A491" s="26"/>
      <c r="B491" s="27"/>
      <c r="C491" s="27"/>
      <c r="D491" s="110"/>
      <c r="E491" s="111"/>
      <c r="F491" s="111"/>
      <c r="G491" s="111"/>
      <c r="H491" s="111"/>
      <c r="I491" s="40"/>
      <c r="J491" s="25"/>
      <c r="K491" s="25"/>
      <c r="L491" s="130"/>
    </row>
    <row r="492" spans="1:12">
      <c r="A492" s="26"/>
      <c r="B492" s="27"/>
      <c r="C492" s="27"/>
      <c r="D492" s="110"/>
      <c r="E492" s="111"/>
      <c r="F492" s="111"/>
      <c r="G492" s="111"/>
      <c r="H492" s="111"/>
      <c r="I492" s="40"/>
      <c r="J492" s="25"/>
      <c r="K492" s="25"/>
      <c r="L492" s="130"/>
    </row>
    <row r="493" spans="1:12">
      <c r="A493" s="26"/>
      <c r="B493" s="27"/>
      <c r="C493" s="27"/>
      <c r="D493" s="110"/>
      <c r="E493" s="111"/>
      <c r="F493" s="111"/>
      <c r="G493" s="111"/>
      <c r="H493" s="111"/>
      <c r="I493" s="40"/>
      <c r="J493" s="25"/>
      <c r="K493" s="25"/>
      <c r="L493" s="130"/>
    </row>
    <row r="494" spans="1:12">
      <c r="A494" s="26"/>
      <c r="B494" s="27"/>
      <c r="C494" s="27"/>
      <c r="D494" s="110"/>
      <c r="E494" s="111"/>
      <c r="F494" s="196"/>
      <c r="G494" s="111"/>
      <c r="H494" s="111"/>
      <c r="I494" s="40"/>
      <c r="J494" s="25"/>
      <c r="K494" s="25"/>
      <c r="L494" s="130"/>
    </row>
    <row r="495" spans="1:12">
      <c r="A495" s="239"/>
      <c r="B495" s="240"/>
      <c r="C495" s="241"/>
      <c r="D495" s="242"/>
      <c r="E495" s="243"/>
      <c r="F495" s="243"/>
      <c r="G495" s="243"/>
      <c r="H495" s="243"/>
      <c r="I495" s="244"/>
      <c r="J495" s="245"/>
      <c r="K495" s="245"/>
      <c r="L495" s="246"/>
    </row>
    <row r="496" spans="1:12">
      <c r="A496" s="221"/>
      <c r="B496" s="222"/>
      <c r="C496" s="116"/>
      <c r="D496" s="122"/>
      <c r="E496" s="113"/>
      <c r="F496" s="113"/>
      <c r="G496" s="113"/>
      <c r="H496" s="113"/>
      <c r="I496" s="225"/>
      <c r="J496" s="108"/>
      <c r="K496" s="108"/>
      <c r="L496" s="224"/>
    </row>
    <row r="497" spans="1:12">
      <c r="A497" s="26"/>
      <c r="B497" s="27"/>
      <c r="C497" s="27"/>
      <c r="D497" s="110"/>
      <c r="E497" s="171"/>
      <c r="F497" s="171"/>
      <c r="G497" s="171"/>
      <c r="H497" s="171"/>
      <c r="I497" s="40"/>
      <c r="J497" s="25"/>
      <c r="K497" s="25"/>
      <c r="L497" s="130"/>
    </row>
    <row r="498" spans="1:12">
      <c r="A498" s="26"/>
      <c r="B498" s="27"/>
      <c r="C498" s="27"/>
      <c r="D498" s="110"/>
      <c r="E498" s="171"/>
      <c r="F498" s="171"/>
      <c r="G498" s="171"/>
      <c r="H498" s="171"/>
      <c r="I498" s="40"/>
      <c r="J498" s="25"/>
      <c r="K498" s="25"/>
      <c r="L498" s="130"/>
    </row>
    <row r="499" spans="1:12">
      <c r="A499" s="26"/>
      <c r="B499" s="27"/>
      <c r="C499" s="27"/>
      <c r="D499" s="110"/>
      <c r="E499" s="171"/>
      <c r="F499" s="171"/>
      <c r="G499" s="171"/>
      <c r="H499" s="171"/>
      <c r="I499" s="40"/>
      <c r="J499" s="25"/>
      <c r="K499" s="25"/>
      <c r="L499" s="130"/>
    </row>
    <row r="500" spans="1:12">
      <c r="A500" s="26"/>
      <c r="B500" s="27"/>
      <c r="C500" s="27"/>
      <c r="D500" s="110"/>
      <c r="E500" s="171"/>
      <c r="F500" s="171"/>
      <c r="G500" s="171"/>
      <c r="H500" s="171"/>
      <c r="I500" s="40"/>
      <c r="J500" s="25"/>
      <c r="K500" s="25"/>
      <c r="L500" s="130"/>
    </row>
    <row r="501" spans="1:12">
      <c r="A501" s="221"/>
      <c r="B501" s="222"/>
      <c r="C501" s="116"/>
      <c r="D501" s="122"/>
      <c r="E501" s="113"/>
      <c r="F501" s="113"/>
      <c r="G501" s="113"/>
      <c r="H501" s="113"/>
      <c r="I501" s="225"/>
      <c r="J501" s="108"/>
      <c r="K501" s="108"/>
      <c r="L501" s="224"/>
    </row>
    <row r="502" spans="1:12">
      <c r="A502" s="26"/>
      <c r="B502" s="26"/>
      <c r="C502" s="26"/>
      <c r="D502" s="110"/>
      <c r="E502" s="171"/>
      <c r="F502" s="171"/>
      <c r="G502" s="171"/>
      <c r="H502" s="171"/>
      <c r="I502" s="40"/>
      <c r="J502" s="25"/>
      <c r="K502" s="25"/>
      <c r="L502" s="130"/>
    </row>
    <row r="503" spans="1:12">
      <c r="A503" s="26"/>
      <c r="B503" s="26"/>
      <c r="C503" s="26"/>
      <c r="D503" s="110"/>
      <c r="E503" s="171"/>
      <c r="F503" s="171"/>
      <c r="G503" s="171"/>
      <c r="H503" s="171"/>
      <c r="I503" s="40"/>
      <c r="J503" s="25"/>
      <c r="K503" s="25"/>
      <c r="L503" s="130"/>
    </row>
    <row r="504" spans="1:12">
      <c r="A504" s="221"/>
      <c r="B504" s="222"/>
      <c r="C504" s="107"/>
      <c r="D504" s="122"/>
      <c r="E504" s="113"/>
      <c r="F504" s="113"/>
      <c r="G504" s="113"/>
      <c r="H504" s="113"/>
      <c r="I504" s="225"/>
      <c r="J504" s="108"/>
      <c r="K504" s="108"/>
      <c r="L504" s="224"/>
    </row>
    <row r="505" spans="1:12">
      <c r="A505" s="221"/>
      <c r="B505" s="222"/>
      <c r="C505" s="116"/>
      <c r="D505" s="122"/>
      <c r="E505" s="113"/>
      <c r="F505" s="113"/>
      <c r="G505" s="113"/>
      <c r="H505" s="113"/>
      <c r="I505" s="225"/>
      <c r="J505" s="108"/>
      <c r="K505" s="108"/>
      <c r="L505" s="224"/>
    </row>
    <row r="506" spans="1:12">
      <c r="A506" s="247"/>
      <c r="B506" s="248"/>
      <c r="C506" s="249"/>
      <c r="D506" s="250"/>
      <c r="E506" s="251"/>
      <c r="F506" s="251"/>
      <c r="G506" s="251"/>
      <c r="H506" s="251"/>
      <c r="I506" s="252"/>
      <c r="J506" s="253"/>
      <c r="K506" s="253"/>
      <c r="L506" s="254"/>
    </row>
    <row r="507" spans="1:12">
      <c r="A507" s="26"/>
      <c r="B507" s="27"/>
      <c r="C507" s="27"/>
      <c r="D507" s="110"/>
      <c r="E507" s="171"/>
      <c r="F507" s="171"/>
      <c r="G507" s="131"/>
      <c r="H507" s="131"/>
      <c r="I507" s="40"/>
      <c r="J507" s="25"/>
      <c r="K507" s="25"/>
      <c r="L507" s="130"/>
    </row>
    <row r="508" spans="1:12">
      <c r="A508" s="26"/>
      <c r="B508" s="27"/>
      <c r="C508" s="27"/>
      <c r="D508" s="110"/>
      <c r="E508" s="171"/>
      <c r="F508" s="171"/>
      <c r="G508" s="171"/>
      <c r="H508" s="171"/>
      <c r="I508" s="40"/>
      <c r="J508" s="25"/>
      <c r="K508" s="25"/>
      <c r="L508" s="130"/>
    </row>
    <row r="509" spans="1:12">
      <c r="A509" s="26"/>
      <c r="B509" s="27"/>
      <c r="C509" s="27"/>
      <c r="D509" s="110"/>
      <c r="E509" s="171"/>
      <c r="F509" s="171"/>
      <c r="G509" s="131"/>
      <c r="H509" s="131"/>
      <c r="I509" s="40"/>
      <c r="J509" s="25"/>
      <c r="K509" s="25"/>
      <c r="L509" s="130"/>
    </row>
    <row r="510" spans="1:12">
      <c r="A510" s="26"/>
      <c r="B510" s="27"/>
      <c r="C510" s="27"/>
      <c r="D510" s="110"/>
      <c r="E510" s="171"/>
      <c r="F510" s="171"/>
      <c r="G510" s="131"/>
      <c r="H510" s="131"/>
      <c r="I510" s="40"/>
      <c r="J510" s="25"/>
      <c r="K510" s="25"/>
      <c r="L510" s="130"/>
    </row>
    <row r="511" spans="1:12">
      <c r="A511" s="26"/>
      <c r="B511" s="27"/>
      <c r="C511" s="27"/>
      <c r="D511" s="110"/>
      <c r="E511" s="171"/>
      <c r="F511" s="171"/>
      <c r="G511" s="171"/>
      <c r="H511" s="131"/>
      <c r="I511" s="40"/>
      <c r="J511" s="25"/>
      <c r="K511" s="25"/>
      <c r="L511" s="130"/>
    </row>
    <row r="512" spans="1:12">
      <c r="A512" s="26"/>
      <c r="B512" s="27"/>
      <c r="C512" s="27"/>
      <c r="D512" s="110"/>
      <c r="E512" s="171"/>
      <c r="F512" s="171"/>
      <c r="G512" s="171"/>
      <c r="H512" s="131"/>
      <c r="I512" s="40"/>
      <c r="J512" s="25"/>
      <c r="K512" s="25"/>
      <c r="L512" s="130"/>
    </row>
    <row r="513" spans="1:12">
      <c r="A513" s="26"/>
      <c r="B513" s="27"/>
      <c r="C513" s="27"/>
      <c r="D513" s="110"/>
      <c r="E513" s="171"/>
      <c r="F513" s="171"/>
      <c r="G513" s="131"/>
      <c r="H513" s="131"/>
      <c r="I513" s="40"/>
      <c r="J513" s="25"/>
      <c r="K513" s="25"/>
      <c r="L513" s="130"/>
    </row>
    <row r="514" spans="1:12">
      <c r="A514" s="247"/>
      <c r="B514" s="247"/>
      <c r="C514" s="249"/>
      <c r="D514" s="250"/>
      <c r="E514" s="255"/>
      <c r="F514" s="255"/>
      <c r="G514" s="251"/>
      <c r="H514" s="251"/>
      <c r="I514" s="252"/>
      <c r="J514" s="253"/>
      <c r="K514" s="253"/>
      <c r="L514" s="254"/>
    </row>
    <row r="515" spans="1:12">
      <c r="A515" s="26"/>
      <c r="B515" s="27"/>
      <c r="C515" s="27"/>
      <c r="D515" s="110"/>
      <c r="E515" s="171"/>
      <c r="F515" s="171"/>
      <c r="G515" s="171"/>
      <c r="H515" s="171"/>
      <c r="I515" s="40"/>
      <c r="J515" s="25"/>
      <c r="K515" s="25"/>
      <c r="L515" s="130"/>
    </row>
    <row r="516" spans="1:12">
      <c r="A516" s="26"/>
      <c r="B516" s="27"/>
      <c r="C516" s="27"/>
      <c r="D516" s="110"/>
      <c r="E516" s="171"/>
      <c r="F516" s="171"/>
      <c r="G516" s="171"/>
      <c r="H516" s="171"/>
      <c r="I516" s="40"/>
      <c r="J516" s="25"/>
      <c r="K516" s="25"/>
      <c r="L516" s="130"/>
    </row>
    <row r="517" spans="1:12">
      <c r="A517" s="26"/>
      <c r="B517" s="27"/>
      <c r="C517" s="27"/>
      <c r="D517" s="110"/>
      <c r="E517" s="171"/>
      <c r="F517" s="171"/>
      <c r="G517" s="171"/>
      <c r="H517" s="171"/>
      <c r="I517" s="40"/>
      <c r="J517" s="25"/>
      <c r="K517" s="25"/>
      <c r="L517" s="130"/>
    </row>
    <row r="518" spans="1:12">
      <c r="A518" s="26"/>
      <c r="B518" s="27"/>
      <c r="C518" s="27"/>
      <c r="D518" s="110"/>
      <c r="E518" s="171"/>
      <c r="F518" s="171"/>
      <c r="G518" s="171"/>
      <c r="H518" s="171"/>
      <c r="I518" s="40"/>
      <c r="J518" s="25"/>
      <c r="K518" s="25"/>
      <c r="L518" s="130"/>
    </row>
    <row r="519" spans="1:12">
      <c r="A519" s="26"/>
      <c r="B519" s="27"/>
      <c r="C519" s="27"/>
      <c r="D519" s="110"/>
      <c r="E519" s="171"/>
      <c r="F519" s="171"/>
      <c r="G519" s="171"/>
      <c r="H519" s="171"/>
      <c r="I519" s="40"/>
      <c r="J519" s="25"/>
      <c r="K519" s="25"/>
      <c r="L519" s="130"/>
    </row>
    <row r="520" spans="1:12">
      <c r="A520" s="26"/>
      <c r="B520" s="27"/>
      <c r="C520" s="27"/>
      <c r="D520" s="110"/>
      <c r="E520" s="171"/>
      <c r="F520" s="171"/>
      <c r="G520" s="171"/>
      <c r="H520" s="171"/>
      <c r="I520" s="40"/>
      <c r="J520" s="25"/>
      <c r="K520" s="25"/>
      <c r="L520" s="130"/>
    </row>
    <row r="521" spans="1:12">
      <c r="A521" s="26"/>
      <c r="B521" s="27"/>
      <c r="C521" s="27"/>
      <c r="D521" s="110"/>
      <c r="E521" s="171"/>
      <c r="F521" s="171"/>
      <c r="G521" s="171"/>
      <c r="H521" s="171"/>
      <c r="I521" s="40"/>
      <c r="J521" s="25"/>
      <c r="K521" s="25"/>
      <c r="L521" s="130"/>
    </row>
    <row r="522" spans="1:12">
      <c r="A522" s="221"/>
      <c r="B522" s="222"/>
      <c r="C522" s="116"/>
      <c r="D522" s="122"/>
      <c r="E522" s="113"/>
      <c r="F522" s="113"/>
      <c r="G522" s="113"/>
      <c r="H522" s="113"/>
      <c r="I522" s="225"/>
      <c r="J522" s="108"/>
      <c r="K522" s="108"/>
      <c r="L522" s="224"/>
    </row>
    <row r="523" spans="1:12">
      <c r="A523" s="189"/>
      <c r="B523" s="190"/>
      <c r="C523" s="191"/>
      <c r="D523" s="192"/>
      <c r="E523" s="202"/>
      <c r="F523" s="202"/>
      <c r="G523" s="202"/>
      <c r="H523" s="202"/>
      <c r="I523" s="203"/>
      <c r="J523" s="204"/>
      <c r="K523" s="204"/>
      <c r="L523" s="130"/>
    </row>
    <row r="524" spans="1:12">
      <c r="A524" s="189"/>
      <c r="B524" s="190"/>
      <c r="C524" s="191"/>
      <c r="D524" s="192"/>
      <c r="E524" s="202"/>
      <c r="F524" s="202"/>
      <c r="G524" s="202"/>
      <c r="H524" s="202"/>
      <c r="I524" s="203"/>
      <c r="J524" s="204"/>
      <c r="K524" s="204"/>
      <c r="L524" s="130"/>
    </row>
    <row r="525" spans="1:12">
      <c r="A525" s="189"/>
      <c r="B525" s="190"/>
      <c r="C525" s="191"/>
      <c r="D525" s="192"/>
      <c r="E525" s="202"/>
      <c r="F525" s="202"/>
      <c r="G525" s="202"/>
      <c r="H525" s="202"/>
      <c r="I525" s="203"/>
      <c r="J525" s="204"/>
      <c r="K525" s="204"/>
      <c r="L525" s="130"/>
    </row>
    <row r="526" spans="1:12">
      <c r="A526" s="189"/>
      <c r="B526" s="190"/>
      <c r="C526" s="191"/>
      <c r="D526" s="192"/>
      <c r="E526" s="202"/>
      <c r="F526" s="202"/>
      <c r="G526" s="202"/>
      <c r="H526" s="202"/>
      <c r="I526" s="203"/>
      <c r="J526" s="204"/>
      <c r="K526" s="204"/>
      <c r="L526" s="130"/>
    </row>
    <row r="527" spans="1:12">
      <c r="A527" s="189"/>
      <c r="B527" s="190"/>
      <c r="C527" s="191"/>
      <c r="D527" s="192"/>
      <c r="E527" s="202"/>
      <c r="F527" s="202"/>
      <c r="G527" s="202"/>
      <c r="H527" s="202"/>
      <c r="I527" s="203"/>
      <c r="J527" s="204"/>
      <c r="K527" s="204"/>
      <c r="L527" s="130"/>
    </row>
    <row r="528" spans="1:12">
      <c r="A528" s="189"/>
      <c r="B528" s="190"/>
      <c r="C528" s="191"/>
      <c r="D528" s="192"/>
      <c r="E528" s="202"/>
      <c r="F528" s="202"/>
      <c r="G528" s="193"/>
      <c r="H528" s="193"/>
      <c r="I528" s="203"/>
      <c r="J528" s="204"/>
      <c r="K528" s="204"/>
      <c r="L528" s="130"/>
    </row>
    <row r="529" spans="1:12">
      <c r="A529" s="189"/>
      <c r="B529" s="190"/>
      <c r="C529" s="191"/>
      <c r="D529" s="192"/>
      <c r="E529" s="202"/>
      <c r="F529" s="202"/>
      <c r="G529" s="193"/>
      <c r="H529" s="193"/>
      <c r="I529" s="203"/>
      <c r="J529" s="204"/>
      <c r="K529" s="204"/>
      <c r="L529" s="130"/>
    </row>
    <row r="530" spans="1:12">
      <c r="A530" s="221"/>
      <c r="B530" s="115"/>
      <c r="C530" s="107"/>
      <c r="D530" s="122"/>
      <c r="E530" s="256"/>
      <c r="F530" s="256"/>
      <c r="G530" s="256"/>
      <c r="H530" s="256"/>
      <c r="I530" s="225"/>
      <c r="J530" s="108"/>
      <c r="K530" s="108"/>
      <c r="L530" s="224"/>
    </row>
    <row r="531" spans="1:12">
      <c r="A531" s="221"/>
      <c r="B531" s="222"/>
      <c r="C531" s="116"/>
      <c r="D531" s="122"/>
      <c r="E531" s="256"/>
      <c r="F531" s="256"/>
      <c r="G531" s="256"/>
      <c r="H531" s="256"/>
      <c r="I531" s="225"/>
      <c r="J531" s="108"/>
      <c r="K531" s="108"/>
      <c r="L531" s="224"/>
    </row>
  </sheetData>
  <autoFilter ref="A2:L531" xr:uid="{00000000-0009-0000-0000-000003000000}"/>
  <mergeCells count="1">
    <mergeCell ref="A1:L1"/>
  </mergeCells>
  <phoneticPr fontId="116" type="noConversion"/>
  <conditionalFormatting sqref="J1:J1048576">
    <cfRule type="containsText" dxfId="65" priority="1" operator="containsText" text="OPEN">
      <formula>NOT(ISERROR(SEARCH("OPEN",J1)))</formula>
    </cfRule>
    <cfRule type="containsText" dxfId="64" priority="2" operator="containsText" text="CLOSE">
      <formula>NOT(ISERROR(SEARCH("CLOSE",J1)))</formula>
    </cfRule>
  </conditionalFormatting>
  <dataValidations count="1">
    <dataValidation type="list" allowBlank="1" showInputMessage="1" showErrorMessage="1" sqref="J1 J465 J467:J1048576 J156:J379 J381:J386 J388:J390 J392:J394 J396:J402 J404:J463 J3:J154" xr:uid="{00000000-0002-0000-0300-000000000000}">
      <formula1>"CLOSE,OPEN"</formula1>
    </dataValidation>
  </dataValidations>
  <pageMargins left="0.75" right="0.75" top="1" bottom="1" header="0.5" footer="0.5"/>
  <pageSetup paperSize="9" scale="3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rgb="FFFFFF00"/>
  </sheetPr>
  <dimension ref="A1:AE107"/>
  <sheetViews>
    <sheetView zoomScale="70" zoomScaleNormal="70" workbookViewId="0">
      <pane ySplit="3" topLeftCell="A60" activePane="bottomLeft" state="frozen"/>
      <selection activeCell="H25" sqref="H25"/>
      <selection pane="bottomLeft" activeCell="H25" sqref="H25"/>
    </sheetView>
  </sheetViews>
  <sheetFormatPr defaultColWidth="9.33203125" defaultRowHeight="15.6"/>
  <cols>
    <col min="1" max="1" width="12" style="46" customWidth="1"/>
    <col min="2" max="2" width="8.21875" style="47" customWidth="1"/>
    <col min="3" max="3" width="15.77734375" style="46" customWidth="1"/>
    <col min="4" max="4" width="14.5546875" style="48" customWidth="1"/>
    <col min="5" max="5" width="10.77734375" style="46" customWidth="1"/>
    <col min="6" max="6" width="45.77734375" style="46" customWidth="1"/>
    <col min="7" max="7" width="35.33203125" style="46" customWidth="1"/>
    <col min="8" max="8" width="13.33203125" style="49" customWidth="1"/>
    <col min="9" max="9" width="49.77734375" style="50" customWidth="1"/>
    <col min="10" max="11" width="13.33203125" style="46" customWidth="1"/>
    <col min="12" max="12" width="13.33203125" style="51" customWidth="1"/>
    <col min="13" max="13" width="13.33203125" style="46" customWidth="1"/>
    <col min="14" max="14" width="26.33203125" style="46" customWidth="1"/>
    <col min="15" max="15" width="27.77734375" style="46" customWidth="1"/>
    <col min="16" max="16" width="23.6640625" style="46" customWidth="1"/>
    <col min="17" max="17" width="22.6640625" style="46" customWidth="1"/>
    <col min="18" max="18" width="39" style="46" customWidth="1"/>
    <col min="19" max="19" width="9.6640625" style="46"/>
    <col min="20" max="16384" width="9.33203125" style="46"/>
  </cols>
  <sheetData>
    <row r="1" spans="1:31" ht="34.049999999999997" customHeight="1">
      <c r="A1" s="298" t="e">
        <f>#REF!&amp;"_问题清单"</f>
        <v>#REF!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</row>
    <row r="2" spans="1:31" s="41" customFormat="1" ht="27" customHeight="1">
      <c r="A2" s="299" t="s">
        <v>52</v>
      </c>
      <c r="B2" s="300"/>
      <c r="C2" s="300"/>
      <c r="D2" s="301"/>
      <c r="E2" s="302" t="s">
        <v>53</v>
      </c>
      <c r="F2" s="302"/>
      <c r="G2" s="303"/>
      <c r="H2" s="299" t="s">
        <v>54</v>
      </c>
      <c r="I2" s="304"/>
      <c r="J2" s="300"/>
      <c r="K2" s="301"/>
      <c r="L2" s="299" t="s">
        <v>55</v>
      </c>
      <c r="M2" s="300"/>
      <c r="N2" s="301"/>
      <c r="O2" s="299" t="s">
        <v>56</v>
      </c>
      <c r="P2" s="300"/>
      <c r="Q2" s="300"/>
      <c r="R2" s="301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</row>
    <row r="3" spans="1:31" s="41" customFormat="1" ht="37.049999999999997" customHeight="1">
      <c r="A3" s="52" t="s">
        <v>57</v>
      </c>
      <c r="B3" s="53" t="s">
        <v>58</v>
      </c>
      <c r="C3" s="52" t="s">
        <v>59</v>
      </c>
      <c r="D3" s="52" t="s">
        <v>60</v>
      </c>
      <c r="E3" s="53" t="s">
        <v>61</v>
      </c>
      <c r="F3" s="52" t="s">
        <v>62</v>
      </c>
      <c r="G3" s="52" t="s">
        <v>63</v>
      </c>
      <c r="H3" s="52" t="s">
        <v>64</v>
      </c>
      <c r="I3" s="52" t="s">
        <v>65</v>
      </c>
      <c r="J3" s="52" t="s">
        <v>66</v>
      </c>
      <c r="K3" s="52" t="s">
        <v>67</v>
      </c>
      <c r="L3" s="52" t="s">
        <v>68</v>
      </c>
      <c r="M3" s="52" t="s">
        <v>69</v>
      </c>
      <c r="N3" s="52" t="s">
        <v>70</v>
      </c>
      <c r="O3" s="52" t="s">
        <v>71</v>
      </c>
      <c r="P3" s="52" t="s">
        <v>72</v>
      </c>
      <c r="Q3" s="52" t="s">
        <v>73</v>
      </c>
      <c r="R3" s="52" t="s">
        <v>74</v>
      </c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</row>
    <row r="4" spans="1:31" s="42" customFormat="1" ht="118.8" hidden="1">
      <c r="A4" s="54" t="s">
        <v>75</v>
      </c>
      <c r="B4" s="55" t="s">
        <v>76</v>
      </c>
      <c r="C4" s="56">
        <v>46104</v>
      </c>
      <c r="D4" s="57" t="s">
        <v>2</v>
      </c>
      <c r="E4" s="58" t="s">
        <v>77</v>
      </c>
      <c r="F4" s="59" t="s">
        <v>78</v>
      </c>
      <c r="G4" s="59" t="s">
        <v>79</v>
      </c>
      <c r="H4" s="60" t="s">
        <v>28</v>
      </c>
      <c r="I4" s="59" t="s">
        <v>80</v>
      </c>
      <c r="J4" s="61" t="s">
        <v>81</v>
      </c>
      <c r="K4" s="56">
        <v>46128</v>
      </c>
      <c r="L4" s="56"/>
      <c r="M4" s="56"/>
      <c r="N4" s="56"/>
      <c r="O4" s="57"/>
      <c r="P4" s="57"/>
      <c r="Q4" s="57"/>
      <c r="R4" s="62"/>
      <c r="S4" s="6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</row>
    <row r="5" spans="1:31" s="42" customFormat="1" ht="26.4" hidden="1">
      <c r="A5" s="54" t="s">
        <v>82</v>
      </c>
      <c r="B5" s="55" t="s">
        <v>76</v>
      </c>
      <c r="C5" s="56">
        <v>46115</v>
      </c>
      <c r="D5" s="57" t="s">
        <v>37</v>
      </c>
      <c r="E5" s="58" t="s">
        <v>77</v>
      </c>
      <c r="F5" s="59" t="s">
        <v>83</v>
      </c>
      <c r="G5" s="59" t="s">
        <v>84</v>
      </c>
      <c r="H5" s="60" t="s">
        <v>33</v>
      </c>
      <c r="I5" s="59" t="s">
        <v>85</v>
      </c>
      <c r="J5" s="56">
        <v>46122</v>
      </c>
      <c r="K5" s="56">
        <v>46127</v>
      </c>
      <c r="L5" s="56"/>
      <c r="M5" s="56"/>
      <c r="N5" s="56"/>
      <c r="O5" s="57"/>
      <c r="P5" s="57"/>
      <c r="Q5" s="57"/>
      <c r="R5" s="62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</row>
    <row r="6" spans="1:31" s="42" customFormat="1" ht="66" hidden="1">
      <c r="A6" s="54" t="s">
        <v>86</v>
      </c>
      <c r="B6" s="55" t="s">
        <v>76</v>
      </c>
      <c r="C6" s="56">
        <v>46115</v>
      </c>
      <c r="D6" s="57" t="s">
        <v>2</v>
      </c>
      <c r="E6" s="58" t="s">
        <v>77</v>
      </c>
      <c r="F6" s="64" t="s">
        <v>87</v>
      </c>
      <c r="G6" s="64" t="s">
        <v>88</v>
      </c>
      <c r="H6" s="65" t="s">
        <v>89</v>
      </c>
      <c r="I6" s="64" t="s">
        <v>90</v>
      </c>
      <c r="J6" s="61" t="s">
        <v>91</v>
      </c>
      <c r="K6" s="66">
        <v>46139</v>
      </c>
      <c r="L6" s="56"/>
      <c r="M6" s="56"/>
      <c r="N6" s="56"/>
      <c r="O6" s="57"/>
      <c r="P6" s="57"/>
      <c r="Q6" s="57"/>
      <c r="R6" s="62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</row>
    <row r="7" spans="1:31" s="42" customFormat="1" ht="39.6" hidden="1">
      <c r="A7" s="54" t="s">
        <v>92</v>
      </c>
      <c r="B7" s="55" t="s">
        <v>76</v>
      </c>
      <c r="C7" s="56">
        <v>46115</v>
      </c>
      <c r="D7" s="57" t="s">
        <v>37</v>
      </c>
      <c r="E7" s="58" t="s">
        <v>77</v>
      </c>
      <c r="F7" s="64" t="s">
        <v>93</v>
      </c>
      <c r="G7" s="64" t="s">
        <v>94</v>
      </c>
      <c r="H7" s="60" t="s">
        <v>28</v>
      </c>
      <c r="I7" s="64" t="s">
        <v>95</v>
      </c>
      <c r="J7" s="61" t="s">
        <v>96</v>
      </c>
      <c r="K7" s="66">
        <v>46132</v>
      </c>
      <c r="L7" s="56"/>
      <c r="M7" s="56"/>
      <c r="N7" s="56"/>
      <c r="O7" s="57"/>
      <c r="P7" s="57"/>
      <c r="Q7" s="57"/>
      <c r="R7" s="62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</row>
    <row r="8" spans="1:31" s="42" customFormat="1" ht="26.4" hidden="1">
      <c r="A8" s="54" t="s">
        <v>97</v>
      </c>
      <c r="B8" s="55" t="s">
        <v>76</v>
      </c>
      <c r="C8" s="56">
        <v>46122</v>
      </c>
      <c r="D8" s="67" t="s">
        <v>0</v>
      </c>
      <c r="E8" s="68" t="s">
        <v>77</v>
      </c>
      <c r="F8" s="64" t="s">
        <v>98</v>
      </c>
      <c r="G8" s="64" t="s">
        <v>99</v>
      </c>
      <c r="H8" s="65" t="s">
        <v>34</v>
      </c>
      <c r="I8" s="64" t="s">
        <v>100</v>
      </c>
      <c r="J8" s="66">
        <v>46126</v>
      </c>
      <c r="K8" s="66">
        <v>46126</v>
      </c>
      <c r="L8" s="56"/>
      <c r="M8" s="56"/>
      <c r="N8" s="56"/>
      <c r="O8" s="57"/>
      <c r="P8" s="57"/>
      <c r="Q8" s="57"/>
      <c r="R8" s="62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</row>
    <row r="9" spans="1:31" s="42" customFormat="1" ht="26.4" hidden="1">
      <c r="A9" s="54" t="s">
        <v>101</v>
      </c>
      <c r="B9" s="55" t="s">
        <v>76</v>
      </c>
      <c r="C9" s="56">
        <v>46122</v>
      </c>
      <c r="D9" s="67" t="s">
        <v>37</v>
      </c>
      <c r="E9" s="68" t="s">
        <v>77</v>
      </c>
      <c r="F9" s="64" t="s">
        <v>102</v>
      </c>
      <c r="G9" s="59" t="s">
        <v>103</v>
      </c>
      <c r="H9" s="60" t="s">
        <v>39</v>
      </c>
      <c r="I9" s="64" t="s">
        <v>104</v>
      </c>
      <c r="J9" s="66">
        <v>46122</v>
      </c>
      <c r="K9" s="66">
        <v>46125</v>
      </c>
      <c r="L9" s="56"/>
      <c r="M9" s="56"/>
      <c r="N9" s="56"/>
      <c r="O9" s="57"/>
      <c r="P9" s="57"/>
      <c r="Q9" s="57"/>
      <c r="R9" s="62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</row>
    <row r="10" spans="1:31" s="42" customFormat="1" ht="39.6" hidden="1">
      <c r="A10" s="54" t="s">
        <v>105</v>
      </c>
      <c r="B10" s="55" t="s">
        <v>76</v>
      </c>
      <c r="C10" s="56">
        <v>46130</v>
      </c>
      <c r="D10" s="67" t="s">
        <v>49</v>
      </c>
      <c r="E10" s="68" t="s">
        <v>77</v>
      </c>
      <c r="F10" s="64" t="s">
        <v>106</v>
      </c>
      <c r="G10" s="64" t="s">
        <v>107</v>
      </c>
      <c r="H10" s="65" t="s">
        <v>34</v>
      </c>
      <c r="I10" s="64" t="s">
        <v>108</v>
      </c>
      <c r="J10" s="69" t="s">
        <v>109</v>
      </c>
      <c r="K10" s="66">
        <v>46152</v>
      </c>
      <c r="L10" s="56"/>
      <c r="M10" s="56"/>
      <c r="N10" s="56"/>
      <c r="O10" s="57"/>
      <c r="P10" s="57"/>
      <c r="Q10" s="57"/>
      <c r="R10" s="62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</row>
    <row r="11" spans="1:31" s="42" customFormat="1" ht="52.8" hidden="1">
      <c r="A11" s="54" t="s">
        <v>110</v>
      </c>
      <c r="B11" s="55" t="s">
        <v>76</v>
      </c>
      <c r="C11" s="56">
        <v>46130</v>
      </c>
      <c r="D11" s="67" t="s">
        <v>49</v>
      </c>
      <c r="E11" s="68" t="s">
        <v>111</v>
      </c>
      <c r="F11" s="64" t="s">
        <v>112</v>
      </c>
      <c r="G11" s="64" t="s">
        <v>113</v>
      </c>
      <c r="H11" s="65" t="s">
        <v>0</v>
      </c>
      <c r="I11" s="64" t="s">
        <v>114</v>
      </c>
      <c r="J11" s="69" t="s">
        <v>115</v>
      </c>
      <c r="K11" s="66">
        <v>46210</v>
      </c>
      <c r="L11" s="56"/>
      <c r="M11" s="56"/>
      <c r="N11" s="56"/>
      <c r="O11" s="57"/>
      <c r="P11" s="57"/>
      <c r="Q11" s="57"/>
      <c r="R11" s="62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</row>
    <row r="12" spans="1:31" s="42" customFormat="1" ht="52.8" hidden="1">
      <c r="A12" s="54" t="s">
        <v>116</v>
      </c>
      <c r="B12" s="55" t="s">
        <v>76</v>
      </c>
      <c r="C12" s="56">
        <v>46130</v>
      </c>
      <c r="D12" s="67" t="s">
        <v>49</v>
      </c>
      <c r="E12" s="68" t="s">
        <v>111</v>
      </c>
      <c r="F12" s="64" t="s">
        <v>117</v>
      </c>
      <c r="G12" s="64" t="s">
        <v>118</v>
      </c>
      <c r="H12" s="65" t="s">
        <v>28</v>
      </c>
      <c r="I12" s="64" t="s">
        <v>114</v>
      </c>
      <c r="J12" s="69" t="s">
        <v>115</v>
      </c>
      <c r="K12" s="66">
        <v>46210</v>
      </c>
      <c r="L12" s="56"/>
      <c r="M12" s="56"/>
      <c r="N12" s="56"/>
      <c r="O12" s="57"/>
      <c r="P12" s="57"/>
      <c r="Q12" s="57"/>
      <c r="R12" s="62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</row>
    <row r="13" spans="1:31" s="42" customFormat="1" ht="14.4" hidden="1">
      <c r="A13" s="54" t="s">
        <v>119</v>
      </c>
      <c r="B13" s="55" t="s">
        <v>76</v>
      </c>
      <c r="C13" s="66">
        <v>46135</v>
      </c>
      <c r="D13" s="67" t="s">
        <v>120</v>
      </c>
      <c r="E13" s="68" t="s">
        <v>111</v>
      </c>
      <c r="F13" s="64" t="s">
        <v>121</v>
      </c>
      <c r="G13" s="64" t="s">
        <v>122</v>
      </c>
      <c r="H13" s="65" t="s">
        <v>34</v>
      </c>
      <c r="I13" s="64" t="s">
        <v>123</v>
      </c>
      <c r="J13" s="66">
        <v>46172</v>
      </c>
      <c r="K13" s="66"/>
      <c r="L13" s="56"/>
      <c r="M13" s="56"/>
      <c r="N13" s="56"/>
      <c r="O13" s="57"/>
      <c r="P13" s="57"/>
      <c r="Q13" s="57"/>
      <c r="R13" s="62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</row>
    <row r="14" spans="1:31" s="42" customFormat="1" ht="14.4" hidden="1">
      <c r="A14" s="54" t="s">
        <v>124</v>
      </c>
      <c r="B14" s="55" t="s">
        <v>76</v>
      </c>
      <c r="C14" s="66">
        <v>46135</v>
      </c>
      <c r="D14" s="67" t="s">
        <v>120</v>
      </c>
      <c r="E14" s="68" t="s">
        <v>111</v>
      </c>
      <c r="F14" s="64" t="s">
        <v>125</v>
      </c>
      <c r="G14" s="64" t="s">
        <v>122</v>
      </c>
      <c r="H14" s="65" t="s">
        <v>34</v>
      </c>
      <c r="I14" s="64" t="s">
        <v>123</v>
      </c>
      <c r="J14" s="66">
        <v>46172</v>
      </c>
      <c r="K14" s="66"/>
      <c r="L14" s="56"/>
      <c r="M14" s="56"/>
      <c r="N14" s="56"/>
      <c r="O14" s="57"/>
      <c r="P14" s="57"/>
      <c r="Q14" s="57"/>
      <c r="R14" s="62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</row>
    <row r="15" spans="1:31" s="42" customFormat="1" ht="26.4" hidden="1">
      <c r="A15" s="54" t="s">
        <v>126</v>
      </c>
      <c r="B15" s="55" t="s">
        <v>76</v>
      </c>
      <c r="C15" s="66">
        <v>46135</v>
      </c>
      <c r="D15" s="67" t="s">
        <v>120</v>
      </c>
      <c r="E15" s="68" t="s">
        <v>111</v>
      </c>
      <c r="F15" s="64" t="s">
        <v>127</v>
      </c>
      <c r="G15" s="64" t="s">
        <v>122</v>
      </c>
      <c r="H15" s="65" t="s">
        <v>34</v>
      </c>
      <c r="I15" s="64" t="s">
        <v>123</v>
      </c>
      <c r="J15" s="66">
        <v>46172</v>
      </c>
      <c r="K15" s="66"/>
      <c r="L15" s="56"/>
      <c r="M15" s="56"/>
      <c r="N15" s="56"/>
      <c r="O15" s="57"/>
      <c r="P15" s="57"/>
      <c r="Q15" s="57"/>
      <c r="R15" s="62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</row>
    <row r="16" spans="1:31" s="42" customFormat="1" ht="14.4" hidden="1">
      <c r="A16" s="54" t="s">
        <v>128</v>
      </c>
      <c r="B16" s="55" t="s">
        <v>76</v>
      </c>
      <c r="C16" s="66">
        <v>46135</v>
      </c>
      <c r="D16" s="67" t="s">
        <v>120</v>
      </c>
      <c r="E16" s="68" t="s">
        <v>111</v>
      </c>
      <c r="F16" s="64" t="s">
        <v>129</v>
      </c>
      <c r="G16" s="64" t="s">
        <v>122</v>
      </c>
      <c r="H16" s="65" t="s">
        <v>34</v>
      </c>
      <c r="I16" s="64" t="s">
        <v>123</v>
      </c>
      <c r="J16" s="66">
        <v>46172</v>
      </c>
      <c r="K16" s="66"/>
      <c r="L16" s="56"/>
      <c r="M16" s="56"/>
      <c r="N16" s="56"/>
      <c r="O16" s="57"/>
      <c r="P16" s="57"/>
      <c r="Q16" s="57"/>
      <c r="R16" s="62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</row>
    <row r="17" spans="1:31" s="42" customFormat="1" ht="14.4" hidden="1">
      <c r="A17" s="54" t="s">
        <v>130</v>
      </c>
      <c r="B17" s="55" t="s">
        <v>76</v>
      </c>
      <c r="C17" s="66">
        <v>46135</v>
      </c>
      <c r="D17" s="67" t="s">
        <v>120</v>
      </c>
      <c r="E17" s="68" t="s">
        <v>111</v>
      </c>
      <c r="F17" s="64" t="s">
        <v>131</v>
      </c>
      <c r="G17" s="64" t="s">
        <v>122</v>
      </c>
      <c r="H17" s="65" t="s">
        <v>34</v>
      </c>
      <c r="I17" s="64" t="s">
        <v>132</v>
      </c>
      <c r="J17" s="66">
        <v>46172</v>
      </c>
      <c r="K17" s="66"/>
      <c r="L17" s="56"/>
      <c r="M17" s="56"/>
      <c r="N17" s="56"/>
      <c r="O17" s="57"/>
      <c r="P17" s="57"/>
      <c r="Q17" s="57"/>
      <c r="R17" s="62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</row>
    <row r="18" spans="1:31" s="42" customFormat="1" ht="26.4" hidden="1">
      <c r="A18" s="54" t="s">
        <v>133</v>
      </c>
      <c r="B18" s="55" t="s">
        <v>76</v>
      </c>
      <c r="C18" s="66">
        <v>46135</v>
      </c>
      <c r="D18" s="67" t="s">
        <v>120</v>
      </c>
      <c r="E18" s="68" t="s">
        <v>111</v>
      </c>
      <c r="F18" s="64" t="s">
        <v>134</v>
      </c>
      <c r="G18" s="64" t="s">
        <v>122</v>
      </c>
      <c r="H18" s="65" t="s">
        <v>34</v>
      </c>
      <c r="I18" s="64" t="s">
        <v>135</v>
      </c>
      <c r="J18" s="66">
        <v>46172</v>
      </c>
      <c r="K18" s="66"/>
      <c r="L18" s="56"/>
      <c r="M18" s="56"/>
      <c r="N18" s="56"/>
      <c r="O18" s="57"/>
      <c r="P18" s="57"/>
      <c r="Q18" s="57"/>
      <c r="R18" s="62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</row>
    <row r="19" spans="1:31" s="42" customFormat="1" ht="26.4" hidden="1">
      <c r="A19" s="54" t="s">
        <v>136</v>
      </c>
      <c r="B19" s="55" t="s">
        <v>76</v>
      </c>
      <c r="C19" s="66">
        <v>46135</v>
      </c>
      <c r="D19" s="67" t="s">
        <v>120</v>
      </c>
      <c r="E19" s="68" t="s">
        <v>111</v>
      </c>
      <c r="F19" s="64" t="s">
        <v>137</v>
      </c>
      <c r="G19" s="64" t="s">
        <v>122</v>
      </c>
      <c r="H19" s="65" t="s">
        <v>34</v>
      </c>
      <c r="I19" s="64" t="s">
        <v>123</v>
      </c>
      <c r="J19" s="66">
        <v>46172</v>
      </c>
      <c r="K19" s="66"/>
      <c r="L19" s="56"/>
      <c r="M19" s="56"/>
      <c r="N19" s="56"/>
      <c r="O19" s="57"/>
      <c r="P19" s="57"/>
      <c r="Q19" s="57"/>
      <c r="R19" s="62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</row>
    <row r="20" spans="1:31" s="42" customFormat="1" ht="14.4" hidden="1">
      <c r="A20" s="54" t="s">
        <v>138</v>
      </c>
      <c r="B20" s="55" t="s">
        <v>76</v>
      </c>
      <c r="C20" s="66">
        <v>46139</v>
      </c>
      <c r="D20" s="67" t="s">
        <v>37</v>
      </c>
      <c r="E20" s="68" t="s">
        <v>77</v>
      </c>
      <c r="F20" s="64" t="s">
        <v>139</v>
      </c>
      <c r="G20" s="64" t="s">
        <v>140</v>
      </c>
      <c r="H20" s="65" t="s">
        <v>34</v>
      </c>
      <c r="I20" s="64" t="s">
        <v>123</v>
      </c>
      <c r="J20" s="66">
        <v>46172</v>
      </c>
      <c r="K20" s="66">
        <v>46164</v>
      </c>
      <c r="L20" s="56"/>
      <c r="M20" s="56"/>
      <c r="N20" s="56"/>
      <c r="O20" s="57"/>
      <c r="P20" s="57"/>
      <c r="Q20" s="57"/>
      <c r="R20" s="62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</row>
    <row r="21" spans="1:31" s="42" customFormat="1" ht="14.4" hidden="1">
      <c r="A21" s="54" t="s">
        <v>141</v>
      </c>
      <c r="B21" s="55" t="s">
        <v>76</v>
      </c>
      <c r="C21" s="66">
        <v>46141</v>
      </c>
      <c r="D21" s="67" t="s">
        <v>37</v>
      </c>
      <c r="E21" s="68" t="s">
        <v>142</v>
      </c>
      <c r="F21" s="64" t="s">
        <v>143</v>
      </c>
      <c r="G21" s="64"/>
      <c r="H21" s="65" t="s">
        <v>36</v>
      </c>
      <c r="I21" s="64" t="s">
        <v>144</v>
      </c>
      <c r="J21" s="66">
        <v>46142</v>
      </c>
      <c r="K21" s="66">
        <v>46142</v>
      </c>
      <c r="L21" s="56"/>
      <c r="M21" s="56"/>
      <c r="N21" s="56"/>
      <c r="O21" s="57"/>
      <c r="P21" s="57"/>
      <c r="Q21" s="57"/>
      <c r="R21" s="62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</row>
    <row r="22" spans="1:31" s="42" customFormat="1" ht="52.8" hidden="1">
      <c r="A22" s="54" t="s">
        <v>145</v>
      </c>
      <c r="B22" s="55" t="s">
        <v>76</v>
      </c>
      <c r="C22" s="66">
        <v>46141</v>
      </c>
      <c r="D22" s="67" t="s">
        <v>37</v>
      </c>
      <c r="E22" s="68" t="s">
        <v>142</v>
      </c>
      <c r="F22" s="64" t="s">
        <v>146</v>
      </c>
      <c r="G22" s="64"/>
      <c r="H22" s="65" t="s">
        <v>36</v>
      </c>
      <c r="I22" s="64" t="s">
        <v>147</v>
      </c>
      <c r="J22" s="66">
        <v>46142</v>
      </c>
      <c r="K22" s="66">
        <v>46142</v>
      </c>
      <c r="L22" s="56"/>
      <c r="M22" s="56"/>
      <c r="N22" s="56"/>
      <c r="O22" s="57"/>
      <c r="P22" s="57"/>
      <c r="Q22" s="57"/>
      <c r="R22" s="62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</row>
    <row r="23" spans="1:31" s="42" customFormat="1" ht="14.4" hidden="1">
      <c r="A23" s="54" t="s">
        <v>148</v>
      </c>
      <c r="B23" s="55" t="s">
        <v>76</v>
      </c>
      <c r="C23" s="66">
        <v>46141</v>
      </c>
      <c r="D23" s="67" t="s">
        <v>37</v>
      </c>
      <c r="E23" s="68" t="s">
        <v>142</v>
      </c>
      <c r="F23" s="64" t="s">
        <v>149</v>
      </c>
      <c r="G23" s="64"/>
      <c r="H23" s="65" t="s">
        <v>36</v>
      </c>
      <c r="I23" s="64" t="s">
        <v>150</v>
      </c>
      <c r="J23" s="66">
        <v>46142</v>
      </c>
      <c r="K23" s="66">
        <v>46142</v>
      </c>
      <c r="L23" s="56"/>
      <c r="M23" s="56"/>
      <c r="N23" s="56"/>
      <c r="O23" s="57"/>
      <c r="P23" s="57"/>
      <c r="Q23" s="57"/>
      <c r="R23" s="62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</row>
    <row r="24" spans="1:31" s="42" customFormat="1" ht="51" hidden="1" customHeight="1">
      <c r="A24" s="54" t="s">
        <v>151</v>
      </c>
      <c r="B24" s="55" t="s">
        <v>76</v>
      </c>
      <c r="C24" s="66">
        <v>46148</v>
      </c>
      <c r="D24" s="67" t="s">
        <v>49</v>
      </c>
      <c r="E24" s="68" t="s">
        <v>77</v>
      </c>
      <c r="F24" s="64" t="s">
        <v>152</v>
      </c>
      <c r="G24" s="64" t="s">
        <v>153</v>
      </c>
      <c r="H24" s="65" t="s">
        <v>34</v>
      </c>
      <c r="I24" s="64" t="s">
        <v>154</v>
      </c>
      <c r="J24" s="66">
        <v>46172</v>
      </c>
      <c r="K24" s="66">
        <v>46164</v>
      </c>
      <c r="L24" s="56"/>
      <c r="M24" s="56"/>
      <c r="N24" s="56"/>
      <c r="O24" s="57"/>
      <c r="P24" s="57"/>
      <c r="Q24" s="57"/>
      <c r="R24" s="62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</row>
    <row r="25" spans="1:31" s="42" customFormat="1" ht="26.4" hidden="1">
      <c r="A25" s="54" t="s">
        <v>155</v>
      </c>
      <c r="B25" s="55" t="s">
        <v>76</v>
      </c>
      <c r="C25" s="66">
        <v>46149</v>
      </c>
      <c r="D25" s="67" t="s">
        <v>156</v>
      </c>
      <c r="E25" s="68" t="s">
        <v>77</v>
      </c>
      <c r="F25" s="64" t="s">
        <v>157</v>
      </c>
      <c r="G25" s="64" t="s">
        <v>158</v>
      </c>
      <c r="H25" s="65" t="s">
        <v>34</v>
      </c>
      <c r="I25" s="64" t="s">
        <v>159</v>
      </c>
      <c r="J25" s="66">
        <v>46172</v>
      </c>
      <c r="K25" s="66">
        <v>46164</v>
      </c>
      <c r="L25" s="56"/>
      <c r="M25" s="56"/>
      <c r="N25" s="56"/>
      <c r="O25" s="57"/>
      <c r="P25" s="57"/>
      <c r="Q25" s="57"/>
      <c r="R25" s="62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</row>
    <row r="26" spans="1:31" s="42" customFormat="1" ht="172.95" hidden="1" customHeight="1">
      <c r="A26" s="54" t="s">
        <v>160</v>
      </c>
      <c r="B26" s="70" t="s">
        <v>76</v>
      </c>
      <c r="C26" s="66">
        <v>46151</v>
      </c>
      <c r="D26" s="67" t="s">
        <v>38</v>
      </c>
      <c r="E26" s="68" t="s">
        <v>77</v>
      </c>
      <c r="F26" s="64" t="s">
        <v>161</v>
      </c>
      <c r="G26" s="64" t="s">
        <v>162</v>
      </c>
      <c r="H26" s="65" t="s">
        <v>36</v>
      </c>
      <c r="I26" s="64" t="s">
        <v>163</v>
      </c>
      <c r="J26" s="69" t="s">
        <v>164</v>
      </c>
      <c r="K26" s="66">
        <v>46210</v>
      </c>
      <c r="L26" s="56"/>
      <c r="M26" s="56"/>
      <c r="N26" s="56"/>
      <c r="O26" s="57"/>
      <c r="P26" s="57"/>
      <c r="Q26" s="57"/>
      <c r="R26" s="62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</row>
    <row r="27" spans="1:31" s="42" customFormat="1" ht="70.05" hidden="1" customHeight="1">
      <c r="A27" s="54" t="s">
        <v>165</v>
      </c>
      <c r="B27" s="71" t="s">
        <v>76</v>
      </c>
      <c r="C27" s="66">
        <v>46151</v>
      </c>
      <c r="D27" s="67" t="s">
        <v>38</v>
      </c>
      <c r="E27" s="68" t="s">
        <v>77</v>
      </c>
      <c r="F27" s="64" t="s">
        <v>166</v>
      </c>
      <c r="G27" s="64" t="s">
        <v>167</v>
      </c>
      <c r="H27" s="65" t="s">
        <v>36</v>
      </c>
      <c r="I27" s="64" t="s">
        <v>168</v>
      </c>
      <c r="J27" s="66">
        <v>46172</v>
      </c>
      <c r="K27" s="66">
        <v>46172</v>
      </c>
      <c r="L27" s="56"/>
      <c r="M27" s="56"/>
      <c r="N27" s="56"/>
      <c r="O27" s="57"/>
      <c r="P27" s="57"/>
      <c r="Q27" s="57"/>
      <c r="R27" s="62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</row>
    <row r="28" spans="1:31" s="45" customFormat="1" ht="121.95" hidden="1" customHeight="1">
      <c r="A28" s="54" t="s">
        <v>169</v>
      </c>
      <c r="B28" s="71" t="s">
        <v>76</v>
      </c>
      <c r="C28" s="66">
        <v>46151</v>
      </c>
      <c r="D28" s="67" t="s">
        <v>38</v>
      </c>
      <c r="E28" s="68" t="s">
        <v>77</v>
      </c>
      <c r="F28" s="64" t="s">
        <v>170</v>
      </c>
      <c r="G28" s="64" t="s">
        <v>171</v>
      </c>
      <c r="H28" s="65" t="s">
        <v>36</v>
      </c>
      <c r="I28" s="64" t="s">
        <v>172</v>
      </c>
      <c r="J28" s="66">
        <v>46172</v>
      </c>
      <c r="K28" s="66">
        <v>46172</v>
      </c>
      <c r="L28" s="56"/>
      <c r="M28" s="56"/>
      <c r="N28" s="56"/>
      <c r="O28" s="57"/>
      <c r="P28" s="57"/>
      <c r="Q28" s="57"/>
      <c r="R28" s="62"/>
    </row>
    <row r="29" spans="1:31" s="45" customFormat="1" ht="46.95" hidden="1" customHeight="1">
      <c r="A29" s="54" t="s">
        <v>173</v>
      </c>
      <c r="B29" s="71" t="s">
        <v>76</v>
      </c>
      <c r="C29" s="66">
        <v>46155</v>
      </c>
      <c r="D29" s="67" t="s">
        <v>38</v>
      </c>
      <c r="E29" s="68" t="s">
        <v>77</v>
      </c>
      <c r="F29" s="64" t="s">
        <v>174</v>
      </c>
      <c r="G29" s="64" t="s">
        <v>175</v>
      </c>
      <c r="H29" s="65" t="s">
        <v>36</v>
      </c>
      <c r="I29" s="64" t="s">
        <v>176</v>
      </c>
      <c r="J29" s="66">
        <v>46172</v>
      </c>
      <c r="K29" s="66">
        <v>46172</v>
      </c>
      <c r="L29" s="56"/>
      <c r="M29" s="56"/>
      <c r="N29" s="56"/>
      <c r="O29" s="57"/>
      <c r="P29" s="57"/>
      <c r="Q29" s="57"/>
      <c r="R29" s="62"/>
    </row>
    <row r="30" spans="1:31" s="45" customFormat="1" ht="25.95" hidden="1" customHeight="1">
      <c r="A30" s="54" t="s">
        <v>177</v>
      </c>
      <c r="B30" s="71" t="s">
        <v>76</v>
      </c>
      <c r="C30" s="66">
        <v>46154</v>
      </c>
      <c r="D30" s="67" t="s">
        <v>38</v>
      </c>
      <c r="E30" s="68" t="s">
        <v>77</v>
      </c>
      <c r="F30" s="64" t="s">
        <v>178</v>
      </c>
      <c r="G30" s="64" t="s">
        <v>179</v>
      </c>
      <c r="H30" s="65" t="s">
        <v>36</v>
      </c>
      <c r="I30" s="72" t="s">
        <v>180</v>
      </c>
      <c r="J30" s="66">
        <v>46172</v>
      </c>
      <c r="K30" s="66">
        <v>46172</v>
      </c>
      <c r="L30" s="56"/>
      <c r="M30" s="56"/>
      <c r="N30" s="56"/>
      <c r="O30" s="57"/>
      <c r="P30" s="57"/>
      <c r="Q30" s="57"/>
      <c r="R30" s="62"/>
    </row>
    <row r="31" spans="1:31" ht="26.4" hidden="1">
      <c r="A31" s="54" t="s">
        <v>181</v>
      </c>
      <c r="B31" s="71" t="s">
        <v>76</v>
      </c>
      <c r="C31" s="66">
        <v>46154</v>
      </c>
      <c r="D31" s="67" t="s">
        <v>38</v>
      </c>
      <c r="E31" s="68" t="s">
        <v>77</v>
      </c>
      <c r="F31" s="64" t="s">
        <v>182</v>
      </c>
      <c r="G31" s="64"/>
      <c r="H31" s="65" t="s">
        <v>36</v>
      </c>
      <c r="I31" s="64" t="s">
        <v>183</v>
      </c>
      <c r="J31" s="66">
        <v>46172</v>
      </c>
      <c r="K31" s="66">
        <v>46172</v>
      </c>
      <c r="L31" s="56"/>
      <c r="M31" s="56"/>
      <c r="N31" s="56"/>
      <c r="O31" s="57"/>
      <c r="P31" s="57"/>
      <c r="Q31" s="57"/>
      <c r="R31" s="62"/>
    </row>
    <row r="32" spans="1:31" ht="22.95" hidden="1" customHeight="1">
      <c r="A32" s="54" t="s">
        <v>184</v>
      </c>
      <c r="B32" s="71" t="s">
        <v>76</v>
      </c>
      <c r="C32" s="66">
        <v>46155</v>
      </c>
      <c r="D32" s="67" t="s">
        <v>38</v>
      </c>
      <c r="E32" s="68" t="s">
        <v>77</v>
      </c>
      <c r="F32" s="64" t="s">
        <v>185</v>
      </c>
      <c r="G32" s="64" t="s">
        <v>186</v>
      </c>
      <c r="H32" s="65" t="s">
        <v>36</v>
      </c>
      <c r="I32" s="64" t="s">
        <v>187</v>
      </c>
      <c r="J32" s="66">
        <v>46172</v>
      </c>
      <c r="K32" s="66">
        <v>46172</v>
      </c>
      <c r="L32" s="56"/>
      <c r="M32" s="56"/>
      <c r="N32" s="56"/>
      <c r="O32" s="57"/>
      <c r="P32" s="57"/>
      <c r="Q32" s="57"/>
      <c r="R32" s="62"/>
    </row>
    <row r="33" spans="1:18" ht="22.95" hidden="1" customHeight="1">
      <c r="A33" s="54" t="s">
        <v>188</v>
      </c>
      <c r="B33" s="71" t="s">
        <v>76</v>
      </c>
      <c r="C33" s="66">
        <v>46155</v>
      </c>
      <c r="D33" s="67" t="s">
        <v>38</v>
      </c>
      <c r="E33" s="68" t="s">
        <v>77</v>
      </c>
      <c r="F33" s="64" t="s">
        <v>189</v>
      </c>
      <c r="G33" s="64"/>
      <c r="H33" s="65" t="s">
        <v>36</v>
      </c>
      <c r="I33" s="64" t="s">
        <v>190</v>
      </c>
      <c r="J33" s="66">
        <v>46172</v>
      </c>
      <c r="K33" s="66">
        <v>46172</v>
      </c>
      <c r="L33" s="56"/>
      <c r="M33" s="56"/>
      <c r="N33" s="56"/>
      <c r="O33" s="57"/>
      <c r="P33" s="57"/>
      <c r="Q33" s="57"/>
      <c r="R33" s="62"/>
    </row>
    <row r="34" spans="1:18" ht="33" hidden="1" customHeight="1">
      <c r="A34" s="54" t="s">
        <v>191</v>
      </c>
      <c r="B34" s="71" t="s">
        <v>76</v>
      </c>
      <c r="C34" s="66">
        <v>46155</v>
      </c>
      <c r="D34" s="67" t="s">
        <v>38</v>
      </c>
      <c r="E34" s="68" t="s">
        <v>77</v>
      </c>
      <c r="F34" s="64" t="s">
        <v>192</v>
      </c>
      <c r="G34" s="64" t="s">
        <v>193</v>
      </c>
      <c r="H34" s="65" t="s">
        <v>36</v>
      </c>
      <c r="I34" s="64" t="s">
        <v>194</v>
      </c>
      <c r="J34" s="66">
        <v>46172</v>
      </c>
      <c r="K34" s="66">
        <v>46172</v>
      </c>
      <c r="L34" s="56"/>
      <c r="M34" s="56"/>
      <c r="N34" s="56"/>
      <c r="O34" s="57"/>
      <c r="P34" s="57"/>
      <c r="Q34" s="57"/>
      <c r="R34" s="62"/>
    </row>
    <row r="35" spans="1:18" ht="48" hidden="1" customHeight="1">
      <c r="A35" s="54" t="s">
        <v>195</v>
      </c>
      <c r="B35" s="71" t="s">
        <v>76</v>
      </c>
      <c r="C35" s="66">
        <v>46155</v>
      </c>
      <c r="D35" s="67" t="s">
        <v>38</v>
      </c>
      <c r="E35" s="68" t="s">
        <v>77</v>
      </c>
      <c r="F35" s="64" t="s">
        <v>196</v>
      </c>
      <c r="G35" s="64"/>
      <c r="H35" s="65" t="s">
        <v>36</v>
      </c>
      <c r="I35" s="64" t="s">
        <v>197</v>
      </c>
      <c r="J35" s="66">
        <v>46172</v>
      </c>
      <c r="K35" s="66">
        <v>46172</v>
      </c>
      <c r="L35" s="56"/>
      <c r="M35" s="56"/>
      <c r="N35" s="56"/>
      <c r="O35" s="57"/>
      <c r="P35" s="57"/>
      <c r="Q35" s="57"/>
      <c r="R35" s="62"/>
    </row>
    <row r="36" spans="1:18" ht="39.6" hidden="1">
      <c r="A36" s="54" t="s">
        <v>198</v>
      </c>
      <c r="B36" s="70" t="s">
        <v>76</v>
      </c>
      <c r="C36" s="66">
        <v>46155</v>
      </c>
      <c r="D36" s="67" t="s">
        <v>156</v>
      </c>
      <c r="E36" s="68" t="s">
        <v>111</v>
      </c>
      <c r="F36" s="64" t="s">
        <v>199</v>
      </c>
      <c r="G36" s="64" t="s">
        <v>200</v>
      </c>
      <c r="H36" s="65" t="s">
        <v>46</v>
      </c>
      <c r="I36" s="64" t="s">
        <v>201</v>
      </c>
      <c r="J36" s="66">
        <v>46172</v>
      </c>
      <c r="K36" s="66">
        <v>46174</v>
      </c>
      <c r="L36" s="56"/>
      <c r="M36" s="56"/>
      <c r="N36" s="56"/>
      <c r="O36" s="57"/>
      <c r="P36" s="57"/>
      <c r="Q36" s="57"/>
      <c r="R36" s="62"/>
    </row>
    <row r="37" spans="1:18" ht="26.4" hidden="1">
      <c r="A37" s="54" t="s">
        <v>202</v>
      </c>
      <c r="B37" s="55" t="s">
        <v>76</v>
      </c>
      <c r="C37" s="66">
        <v>46155</v>
      </c>
      <c r="D37" s="67" t="s">
        <v>156</v>
      </c>
      <c r="E37" s="68" t="s">
        <v>77</v>
      </c>
      <c r="F37" s="64" t="s">
        <v>203</v>
      </c>
      <c r="G37" s="64" t="s">
        <v>204</v>
      </c>
      <c r="H37" s="65" t="s">
        <v>43</v>
      </c>
      <c r="I37" s="64" t="s">
        <v>205</v>
      </c>
      <c r="J37" s="66">
        <v>46156</v>
      </c>
      <c r="K37" s="66">
        <v>46156</v>
      </c>
      <c r="L37" s="56"/>
      <c r="M37" s="56"/>
      <c r="N37" s="56"/>
      <c r="O37" s="57"/>
      <c r="P37" s="57"/>
      <c r="Q37" s="57"/>
      <c r="R37" s="62"/>
    </row>
    <row r="38" spans="1:18" ht="25.05" hidden="1" customHeight="1">
      <c r="A38" s="54" t="s">
        <v>206</v>
      </c>
      <c r="B38" s="55" t="s">
        <v>76</v>
      </c>
      <c r="C38" s="66">
        <v>46155</v>
      </c>
      <c r="D38" s="67" t="s">
        <v>156</v>
      </c>
      <c r="E38" s="68" t="s">
        <v>77</v>
      </c>
      <c r="F38" s="64" t="s">
        <v>207</v>
      </c>
      <c r="G38" s="64" t="s">
        <v>204</v>
      </c>
      <c r="H38" s="65" t="s">
        <v>43</v>
      </c>
      <c r="I38" s="64" t="s">
        <v>208</v>
      </c>
      <c r="J38" s="66">
        <v>46172</v>
      </c>
      <c r="K38" s="66">
        <v>46160</v>
      </c>
      <c r="L38" s="56"/>
      <c r="M38" s="56"/>
      <c r="N38" s="56"/>
      <c r="O38" s="57"/>
      <c r="P38" s="57"/>
      <c r="Q38" s="57"/>
      <c r="R38" s="62"/>
    </row>
    <row r="39" spans="1:18" ht="39.6" hidden="1">
      <c r="A39" s="54" t="s">
        <v>209</v>
      </c>
      <c r="B39" s="55" t="s">
        <v>76</v>
      </c>
      <c r="C39" s="66">
        <v>46155</v>
      </c>
      <c r="D39" s="67" t="s">
        <v>156</v>
      </c>
      <c r="E39" s="68" t="s">
        <v>77</v>
      </c>
      <c r="F39" s="64" t="s">
        <v>210</v>
      </c>
      <c r="G39" s="64" t="s">
        <v>211</v>
      </c>
      <c r="H39" s="65" t="s">
        <v>43</v>
      </c>
      <c r="I39" s="64" t="s">
        <v>212</v>
      </c>
      <c r="J39" s="66">
        <v>46156</v>
      </c>
      <c r="K39" s="66">
        <v>46156</v>
      </c>
      <c r="L39" s="56"/>
      <c r="M39" s="56"/>
      <c r="N39" s="56"/>
      <c r="O39" s="57"/>
      <c r="P39" s="57"/>
      <c r="Q39" s="57"/>
      <c r="R39" s="62"/>
    </row>
    <row r="40" spans="1:18" ht="118.8" hidden="1">
      <c r="A40" s="54" t="s">
        <v>213</v>
      </c>
      <c r="B40" s="70" t="s">
        <v>76</v>
      </c>
      <c r="C40" s="66">
        <v>46155</v>
      </c>
      <c r="D40" s="67" t="s">
        <v>156</v>
      </c>
      <c r="E40" s="68" t="s">
        <v>77</v>
      </c>
      <c r="F40" s="64" t="s">
        <v>214</v>
      </c>
      <c r="G40" s="64" t="s">
        <v>215</v>
      </c>
      <c r="H40" s="65" t="s">
        <v>43</v>
      </c>
      <c r="I40" s="64" t="s">
        <v>216</v>
      </c>
      <c r="J40" s="66">
        <v>46172</v>
      </c>
      <c r="K40" s="66">
        <v>46216</v>
      </c>
      <c r="L40" s="56"/>
      <c r="M40" s="56"/>
      <c r="N40" s="56"/>
      <c r="O40" s="57"/>
      <c r="P40" s="57"/>
      <c r="Q40" s="57"/>
      <c r="R40" s="62"/>
    </row>
    <row r="41" spans="1:18" ht="66" hidden="1">
      <c r="A41" s="54" t="s">
        <v>217</v>
      </c>
      <c r="B41" s="55" t="s">
        <v>76</v>
      </c>
      <c r="C41" s="66">
        <v>46155</v>
      </c>
      <c r="D41" s="67" t="s">
        <v>156</v>
      </c>
      <c r="E41" s="68" t="s">
        <v>142</v>
      </c>
      <c r="F41" s="64" t="s">
        <v>218</v>
      </c>
      <c r="G41" s="64"/>
      <c r="H41" s="65" t="s">
        <v>44</v>
      </c>
      <c r="I41" s="64" t="s">
        <v>219</v>
      </c>
      <c r="J41" s="66">
        <v>46172</v>
      </c>
      <c r="K41" s="66">
        <v>46164</v>
      </c>
      <c r="L41" s="56"/>
      <c r="M41" s="56"/>
      <c r="N41" s="56"/>
      <c r="O41" s="57"/>
      <c r="P41" s="57"/>
      <c r="Q41" s="57"/>
      <c r="R41" s="62"/>
    </row>
    <row r="42" spans="1:18" hidden="1">
      <c r="A42" s="54" t="s">
        <v>220</v>
      </c>
      <c r="B42" s="55" t="s">
        <v>76</v>
      </c>
      <c r="C42" s="66">
        <v>46156</v>
      </c>
      <c r="D42" s="67" t="s">
        <v>156</v>
      </c>
      <c r="E42" s="68" t="s">
        <v>77</v>
      </c>
      <c r="F42" s="64" t="s">
        <v>221</v>
      </c>
      <c r="G42" s="64" t="s">
        <v>204</v>
      </c>
      <c r="H42" s="65" t="s">
        <v>43</v>
      </c>
      <c r="I42" s="64" t="s">
        <v>222</v>
      </c>
      <c r="J42" s="66">
        <v>46156</v>
      </c>
      <c r="K42" s="66">
        <v>46156</v>
      </c>
      <c r="L42" s="56"/>
      <c r="M42" s="56"/>
      <c r="N42" s="56"/>
      <c r="O42" s="57"/>
      <c r="P42" s="57"/>
      <c r="Q42" s="57"/>
      <c r="R42" s="62"/>
    </row>
    <row r="43" spans="1:18" hidden="1">
      <c r="A43" s="54" t="s">
        <v>223</v>
      </c>
      <c r="B43" s="55" t="s">
        <v>76</v>
      </c>
      <c r="C43" s="66">
        <v>46156</v>
      </c>
      <c r="D43" s="67" t="s">
        <v>156</v>
      </c>
      <c r="E43" s="68" t="s">
        <v>142</v>
      </c>
      <c r="F43" s="64" t="s">
        <v>224</v>
      </c>
      <c r="G43" s="64" t="s">
        <v>225</v>
      </c>
      <c r="H43" s="65" t="s">
        <v>226</v>
      </c>
      <c r="I43" s="64" t="s">
        <v>227</v>
      </c>
      <c r="J43" s="66">
        <v>46172</v>
      </c>
      <c r="K43" s="66">
        <v>46160</v>
      </c>
      <c r="L43" s="56"/>
      <c r="M43" s="56"/>
      <c r="N43" s="56"/>
      <c r="O43" s="57"/>
      <c r="P43" s="57"/>
      <c r="Q43" s="57"/>
      <c r="R43" s="62"/>
    </row>
    <row r="44" spans="1:18" ht="39.6" hidden="1">
      <c r="A44" s="54" t="s">
        <v>228</v>
      </c>
      <c r="B44" s="55" t="s">
        <v>76</v>
      </c>
      <c r="C44" s="66">
        <v>46156</v>
      </c>
      <c r="D44" s="67" t="s">
        <v>156</v>
      </c>
      <c r="E44" s="68" t="s">
        <v>77</v>
      </c>
      <c r="F44" s="64" t="s">
        <v>229</v>
      </c>
      <c r="G44" s="64" t="s">
        <v>211</v>
      </c>
      <c r="H44" s="65" t="s">
        <v>43</v>
      </c>
      <c r="I44" s="64" t="s">
        <v>230</v>
      </c>
      <c r="J44" s="66">
        <v>46172</v>
      </c>
      <c r="K44" s="66">
        <v>46160</v>
      </c>
      <c r="L44" s="56"/>
      <c r="M44" s="56"/>
      <c r="N44" s="56"/>
      <c r="O44" s="57"/>
      <c r="P44" s="57"/>
      <c r="Q44" s="57"/>
      <c r="R44" s="62"/>
    </row>
    <row r="45" spans="1:18" ht="60" hidden="1" customHeight="1">
      <c r="A45" s="54" t="s">
        <v>231</v>
      </c>
      <c r="B45" s="55" t="s">
        <v>76</v>
      </c>
      <c r="C45" s="66">
        <v>46157</v>
      </c>
      <c r="D45" s="67" t="s">
        <v>40</v>
      </c>
      <c r="E45" s="68" t="s">
        <v>77</v>
      </c>
      <c r="F45" s="73" t="s">
        <v>232</v>
      </c>
      <c r="G45" s="73" t="s">
        <v>233</v>
      </c>
      <c r="H45" s="74" t="s">
        <v>40</v>
      </c>
      <c r="I45" s="75" t="s">
        <v>234</v>
      </c>
      <c r="J45" s="76"/>
      <c r="K45" s="76"/>
      <c r="L45" s="56"/>
      <c r="M45" s="56"/>
      <c r="N45" s="56"/>
      <c r="O45" s="57"/>
      <c r="P45" s="57"/>
      <c r="Q45" s="57"/>
      <c r="R45" s="62"/>
    </row>
    <row r="46" spans="1:18" ht="43.05" hidden="1" customHeight="1">
      <c r="A46" s="54" t="s">
        <v>235</v>
      </c>
      <c r="B46" s="71" t="s">
        <v>76</v>
      </c>
      <c r="C46" s="66">
        <v>46160</v>
      </c>
      <c r="D46" s="67" t="s">
        <v>38</v>
      </c>
      <c r="E46" s="68" t="s">
        <v>77</v>
      </c>
      <c r="F46" s="73" t="s">
        <v>236</v>
      </c>
      <c r="G46" s="73" t="s">
        <v>237</v>
      </c>
      <c r="H46" s="74" t="s">
        <v>40</v>
      </c>
      <c r="I46" s="73" t="s">
        <v>238</v>
      </c>
      <c r="J46" s="76">
        <v>46162</v>
      </c>
      <c r="K46" s="76">
        <v>46162</v>
      </c>
      <c r="L46" s="56"/>
      <c r="M46" s="56"/>
      <c r="N46" s="56"/>
      <c r="O46" s="57"/>
      <c r="P46" s="57"/>
      <c r="Q46" s="57"/>
      <c r="R46" s="62"/>
    </row>
    <row r="47" spans="1:18" ht="25.95" hidden="1" customHeight="1">
      <c r="A47" s="54" t="s">
        <v>239</v>
      </c>
      <c r="B47" s="71" t="s">
        <v>76</v>
      </c>
      <c r="C47" s="66">
        <v>46160</v>
      </c>
      <c r="D47" s="67" t="s">
        <v>38</v>
      </c>
      <c r="E47" s="68" t="s">
        <v>77</v>
      </c>
      <c r="F47" s="73" t="s">
        <v>240</v>
      </c>
      <c r="G47" s="77" t="s">
        <v>241</v>
      </c>
      <c r="H47" s="74" t="s">
        <v>45</v>
      </c>
      <c r="I47" s="73" t="s">
        <v>242</v>
      </c>
      <c r="J47" s="76">
        <v>46161</v>
      </c>
      <c r="K47" s="76">
        <v>46161</v>
      </c>
      <c r="L47" s="56"/>
      <c r="M47" s="56"/>
      <c r="N47" s="56"/>
      <c r="O47" s="57"/>
      <c r="P47" s="57"/>
      <c r="Q47" s="57"/>
      <c r="R47" s="62"/>
    </row>
    <row r="48" spans="1:18" ht="60" hidden="1" customHeight="1">
      <c r="A48" s="54" t="s">
        <v>243</v>
      </c>
      <c r="B48" s="71" t="s">
        <v>76</v>
      </c>
      <c r="C48" s="66">
        <v>46161</v>
      </c>
      <c r="D48" s="67" t="s">
        <v>38</v>
      </c>
      <c r="E48" s="68" t="s">
        <v>77</v>
      </c>
      <c r="F48" s="73" t="s">
        <v>244</v>
      </c>
      <c r="G48" s="64" t="s">
        <v>245</v>
      </c>
      <c r="H48" s="65" t="s">
        <v>40</v>
      </c>
      <c r="I48" s="64" t="s">
        <v>246</v>
      </c>
      <c r="J48" s="76">
        <v>46162</v>
      </c>
      <c r="K48" s="76">
        <v>46162</v>
      </c>
      <c r="L48" s="56"/>
      <c r="M48" s="56"/>
      <c r="N48" s="56"/>
      <c r="O48" s="57"/>
      <c r="P48" s="57"/>
      <c r="Q48" s="57"/>
      <c r="R48" s="62"/>
    </row>
    <row r="49" spans="1:18" ht="51" hidden="1" customHeight="1">
      <c r="A49" s="54" t="s">
        <v>247</v>
      </c>
      <c r="B49" s="71" t="s">
        <v>76</v>
      </c>
      <c r="C49" s="66">
        <v>46161</v>
      </c>
      <c r="D49" s="67" t="s">
        <v>38</v>
      </c>
      <c r="E49" s="68" t="s">
        <v>77</v>
      </c>
      <c r="F49" s="73" t="s">
        <v>248</v>
      </c>
      <c r="G49" s="64" t="s">
        <v>249</v>
      </c>
      <c r="H49" s="65" t="s">
        <v>40</v>
      </c>
      <c r="I49" s="64" t="s">
        <v>250</v>
      </c>
      <c r="J49" s="76">
        <v>46162</v>
      </c>
      <c r="K49" s="76">
        <v>46162</v>
      </c>
      <c r="L49" s="56"/>
      <c r="M49" s="56"/>
      <c r="N49" s="56"/>
      <c r="O49" s="57"/>
      <c r="P49" s="57"/>
      <c r="Q49" s="57"/>
      <c r="R49" s="62"/>
    </row>
    <row r="50" spans="1:18" ht="40.950000000000003" hidden="1" customHeight="1">
      <c r="A50" s="54" t="s">
        <v>251</v>
      </c>
      <c r="B50" s="71" t="s">
        <v>76</v>
      </c>
      <c r="C50" s="66">
        <v>46161</v>
      </c>
      <c r="D50" s="67" t="s">
        <v>38</v>
      </c>
      <c r="E50" s="68" t="s">
        <v>77</v>
      </c>
      <c r="F50" s="73" t="s">
        <v>252</v>
      </c>
      <c r="G50" s="64" t="s">
        <v>253</v>
      </c>
      <c r="H50" s="65" t="s">
        <v>38</v>
      </c>
      <c r="I50" s="64" t="s">
        <v>254</v>
      </c>
      <c r="J50" s="76">
        <v>46162</v>
      </c>
      <c r="K50" s="76">
        <v>46162</v>
      </c>
      <c r="L50" s="56"/>
      <c r="M50" s="56"/>
      <c r="N50" s="56"/>
      <c r="O50" s="57"/>
      <c r="P50" s="57"/>
      <c r="Q50" s="57"/>
      <c r="R50" s="62"/>
    </row>
    <row r="51" spans="1:18" ht="28.95" hidden="1" customHeight="1">
      <c r="A51" s="54" t="s">
        <v>255</v>
      </c>
      <c r="B51" s="71" t="s">
        <v>76</v>
      </c>
      <c r="C51" s="66">
        <v>46162</v>
      </c>
      <c r="D51" s="67" t="s">
        <v>38</v>
      </c>
      <c r="E51" s="68" t="s">
        <v>77</v>
      </c>
      <c r="F51" s="73" t="s">
        <v>256</v>
      </c>
      <c r="G51" s="64" t="s">
        <v>257</v>
      </c>
      <c r="H51" s="65" t="s">
        <v>40</v>
      </c>
      <c r="I51" s="64" t="s">
        <v>258</v>
      </c>
      <c r="J51" s="76">
        <v>46162</v>
      </c>
      <c r="K51" s="76">
        <v>46162</v>
      </c>
      <c r="L51" s="56"/>
      <c r="M51" s="56"/>
      <c r="N51" s="56"/>
      <c r="O51" s="57"/>
      <c r="P51" s="57"/>
      <c r="Q51" s="57"/>
      <c r="R51" s="62"/>
    </row>
    <row r="52" spans="1:18" ht="25.05" hidden="1" customHeight="1">
      <c r="A52" s="54" t="s">
        <v>259</v>
      </c>
      <c r="B52" s="71" t="s">
        <v>76</v>
      </c>
      <c r="C52" s="66">
        <v>46162</v>
      </c>
      <c r="D52" s="67" t="s">
        <v>38</v>
      </c>
      <c r="E52" s="68" t="s">
        <v>77</v>
      </c>
      <c r="F52" s="73" t="s">
        <v>260</v>
      </c>
      <c r="G52" s="64" t="s">
        <v>261</v>
      </c>
      <c r="H52" s="65" t="s">
        <v>45</v>
      </c>
      <c r="I52" s="64" t="s">
        <v>262</v>
      </c>
      <c r="J52" s="66">
        <v>46163</v>
      </c>
      <c r="K52" s="66">
        <v>46163</v>
      </c>
      <c r="L52" s="56"/>
      <c r="M52" s="56"/>
      <c r="N52" s="56"/>
      <c r="O52" s="57"/>
      <c r="P52" s="57"/>
      <c r="Q52" s="57"/>
      <c r="R52" s="62"/>
    </row>
    <row r="53" spans="1:18" ht="37.049999999999997" hidden="1" customHeight="1">
      <c r="A53" s="54" t="s">
        <v>263</v>
      </c>
      <c r="B53" s="71" t="s">
        <v>76</v>
      </c>
      <c r="C53" s="66">
        <v>46162</v>
      </c>
      <c r="D53" s="67" t="s">
        <v>38</v>
      </c>
      <c r="E53" s="68" t="s">
        <v>77</v>
      </c>
      <c r="F53" s="73" t="s">
        <v>264</v>
      </c>
      <c r="G53" s="64" t="s">
        <v>265</v>
      </c>
      <c r="H53" s="65" t="s">
        <v>45</v>
      </c>
      <c r="I53" s="64" t="s">
        <v>266</v>
      </c>
      <c r="J53" s="66">
        <v>46163</v>
      </c>
      <c r="K53" s="66">
        <v>46163</v>
      </c>
      <c r="L53" s="56"/>
      <c r="M53" s="56"/>
      <c r="N53" s="56"/>
      <c r="O53" s="57"/>
      <c r="P53" s="57"/>
      <c r="Q53" s="57"/>
      <c r="R53" s="62"/>
    </row>
    <row r="54" spans="1:18" ht="34.950000000000003" hidden="1" customHeight="1">
      <c r="A54" s="54" t="s">
        <v>267</v>
      </c>
      <c r="B54" s="55" t="s">
        <v>76</v>
      </c>
      <c r="C54" s="66">
        <v>46162</v>
      </c>
      <c r="D54" s="67" t="s">
        <v>2</v>
      </c>
      <c r="E54" s="68" t="s">
        <v>142</v>
      </c>
      <c r="F54" s="73" t="s">
        <v>268</v>
      </c>
      <c r="G54" s="64" t="s">
        <v>269</v>
      </c>
      <c r="H54" s="65" t="s">
        <v>270</v>
      </c>
      <c r="I54" s="64" t="s">
        <v>271</v>
      </c>
      <c r="J54" s="66">
        <v>46163</v>
      </c>
      <c r="K54" s="66">
        <v>46163</v>
      </c>
      <c r="L54" s="56"/>
      <c r="M54" s="56"/>
      <c r="N54" s="56"/>
      <c r="O54" s="57"/>
      <c r="P54" s="57"/>
      <c r="Q54" s="57"/>
      <c r="R54" s="62"/>
    </row>
    <row r="55" spans="1:18" ht="34.950000000000003" hidden="1" customHeight="1">
      <c r="A55" s="54" t="s">
        <v>272</v>
      </c>
      <c r="B55" s="55" t="s">
        <v>76</v>
      </c>
      <c r="C55" s="66">
        <v>46162</v>
      </c>
      <c r="D55" s="67" t="s">
        <v>2</v>
      </c>
      <c r="E55" s="68" t="s">
        <v>142</v>
      </c>
      <c r="F55" s="73" t="s">
        <v>273</v>
      </c>
      <c r="G55" s="64" t="s">
        <v>274</v>
      </c>
      <c r="H55" s="65" t="s">
        <v>33</v>
      </c>
      <c r="I55" s="64" t="s">
        <v>271</v>
      </c>
      <c r="J55" s="66">
        <v>46163</v>
      </c>
      <c r="K55" s="66">
        <v>46163</v>
      </c>
      <c r="L55" s="56"/>
      <c r="M55" s="56"/>
      <c r="N55" s="56"/>
      <c r="O55" s="57"/>
      <c r="P55" s="57"/>
      <c r="Q55" s="57"/>
      <c r="R55" s="62"/>
    </row>
    <row r="56" spans="1:18" ht="34.950000000000003" hidden="1" customHeight="1">
      <c r="A56" s="54" t="s">
        <v>275</v>
      </c>
      <c r="B56" s="55" t="s">
        <v>76</v>
      </c>
      <c r="C56" s="66">
        <v>46162</v>
      </c>
      <c r="D56" s="67" t="s">
        <v>2</v>
      </c>
      <c r="E56" s="68" t="s">
        <v>111</v>
      </c>
      <c r="F56" s="73" t="s">
        <v>276</v>
      </c>
      <c r="G56" s="64" t="s">
        <v>274</v>
      </c>
      <c r="H56" s="65" t="s">
        <v>277</v>
      </c>
      <c r="I56" s="64" t="s">
        <v>278</v>
      </c>
      <c r="J56" s="66">
        <v>46167</v>
      </c>
      <c r="K56" s="66">
        <v>46170</v>
      </c>
      <c r="L56" s="56"/>
      <c r="M56" s="56"/>
      <c r="N56" s="56"/>
      <c r="O56" s="57"/>
      <c r="P56" s="57"/>
      <c r="Q56" s="57"/>
      <c r="R56" s="62"/>
    </row>
    <row r="57" spans="1:18" ht="34.950000000000003" hidden="1" customHeight="1">
      <c r="A57" s="54" t="s">
        <v>279</v>
      </c>
      <c r="B57" s="55" t="s">
        <v>76</v>
      </c>
      <c r="C57" s="66">
        <v>46162</v>
      </c>
      <c r="D57" s="67" t="s">
        <v>2</v>
      </c>
      <c r="E57" s="68" t="s">
        <v>142</v>
      </c>
      <c r="F57" s="73" t="s">
        <v>280</v>
      </c>
      <c r="G57" s="64" t="s">
        <v>281</v>
      </c>
      <c r="H57" s="65" t="s">
        <v>34</v>
      </c>
      <c r="I57" s="64" t="s">
        <v>271</v>
      </c>
      <c r="J57" s="66">
        <v>46163</v>
      </c>
      <c r="K57" s="66">
        <v>46163</v>
      </c>
      <c r="L57" s="56"/>
      <c r="M57" s="56"/>
      <c r="N57" s="56"/>
      <c r="O57" s="57"/>
      <c r="P57" s="57"/>
      <c r="Q57" s="57"/>
      <c r="R57" s="62"/>
    </row>
    <row r="58" spans="1:18" ht="34.950000000000003" hidden="1" customHeight="1">
      <c r="A58" s="54" t="s">
        <v>282</v>
      </c>
      <c r="B58" s="55" t="s">
        <v>76</v>
      </c>
      <c r="C58" s="66">
        <v>46162</v>
      </c>
      <c r="D58" s="67" t="s">
        <v>37</v>
      </c>
      <c r="E58" s="78" t="s">
        <v>77</v>
      </c>
      <c r="F58" s="73" t="s">
        <v>283</v>
      </c>
      <c r="G58" s="79" t="s">
        <v>284</v>
      </c>
      <c r="H58" s="80" t="s">
        <v>48</v>
      </c>
      <c r="I58" s="79" t="s">
        <v>285</v>
      </c>
      <c r="J58" s="66">
        <v>46164</v>
      </c>
      <c r="K58" s="66">
        <v>46164</v>
      </c>
      <c r="L58" s="56"/>
      <c r="M58" s="56"/>
      <c r="N58" s="56"/>
      <c r="O58" s="57"/>
      <c r="P58" s="57"/>
      <c r="Q58" s="57"/>
      <c r="R58" s="62"/>
    </row>
    <row r="59" spans="1:18" ht="34.950000000000003" hidden="1" customHeight="1">
      <c r="A59" s="54" t="s">
        <v>286</v>
      </c>
      <c r="B59" s="55" t="s">
        <v>76</v>
      </c>
      <c r="C59" s="66">
        <v>46162</v>
      </c>
      <c r="D59" s="67" t="s">
        <v>2</v>
      </c>
      <c r="E59" s="68" t="s">
        <v>142</v>
      </c>
      <c r="F59" s="73" t="s">
        <v>287</v>
      </c>
      <c r="G59" s="64" t="s">
        <v>288</v>
      </c>
      <c r="H59" s="65" t="s">
        <v>28</v>
      </c>
      <c r="I59" s="64" t="s">
        <v>289</v>
      </c>
      <c r="J59" s="66">
        <v>46163</v>
      </c>
      <c r="K59" s="66">
        <v>46163</v>
      </c>
      <c r="L59" s="56"/>
      <c r="M59" s="56"/>
      <c r="N59" s="56"/>
      <c r="O59" s="57"/>
      <c r="P59" s="57"/>
      <c r="Q59" s="57"/>
      <c r="R59" s="62"/>
    </row>
    <row r="60" spans="1:18" ht="73.95" customHeight="1">
      <c r="A60" s="54" t="s">
        <v>290</v>
      </c>
      <c r="B60" s="81" t="s">
        <v>291</v>
      </c>
      <c r="C60" s="66">
        <v>46163</v>
      </c>
      <c r="D60" s="67" t="s">
        <v>38</v>
      </c>
      <c r="E60" s="68" t="s">
        <v>77</v>
      </c>
      <c r="F60" s="82" t="s">
        <v>292</v>
      </c>
      <c r="G60" s="64" t="s">
        <v>293</v>
      </c>
      <c r="H60" s="65"/>
      <c r="I60" s="64" t="s">
        <v>294</v>
      </c>
      <c r="J60" s="66">
        <v>46219</v>
      </c>
      <c r="K60" s="66"/>
      <c r="L60" s="56"/>
      <c r="M60" s="56"/>
      <c r="N60" s="56"/>
      <c r="O60" s="57"/>
      <c r="P60" s="57"/>
      <c r="Q60" s="57"/>
      <c r="R60" s="62"/>
    </row>
    <row r="61" spans="1:18" ht="26.4" hidden="1">
      <c r="A61" s="54" t="s">
        <v>295</v>
      </c>
      <c r="B61" s="55" t="s">
        <v>76</v>
      </c>
      <c r="C61" s="66">
        <v>46164</v>
      </c>
      <c r="D61" s="67" t="s">
        <v>156</v>
      </c>
      <c r="E61" s="68" t="s">
        <v>111</v>
      </c>
      <c r="F61" s="64" t="s">
        <v>296</v>
      </c>
      <c r="G61" s="64" t="s">
        <v>204</v>
      </c>
      <c r="H61" s="65" t="s">
        <v>43</v>
      </c>
      <c r="I61" s="64" t="s">
        <v>297</v>
      </c>
      <c r="J61" s="66">
        <v>46164</v>
      </c>
      <c r="K61" s="66">
        <v>46164</v>
      </c>
      <c r="L61" s="66"/>
      <c r="M61" s="57"/>
      <c r="N61" s="57"/>
      <c r="O61" s="57"/>
      <c r="P61" s="57"/>
      <c r="Q61" s="57"/>
      <c r="R61" s="62"/>
    </row>
    <row r="62" spans="1:18" hidden="1">
      <c r="A62" s="54" t="s">
        <v>298</v>
      </c>
      <c r="B62" s="55" t="s">
        <v>76</v>
      </c>
      <c r="C62" s="66">
        <v>46164</v>
      </c>
      <c r="D62" s="67" t="s">
        <v>156</v>
      </c>
      <c r="E62" s="68" t="s">
        <v>111</v>
      </c>
      <c r="F62" s="64" t="s">
        <v>299</v>
      </c>
      <c r="G62" s="64"/>
      <c r="H62" s="65" t="s">
        <v>44</v>
      </c>
      <c r="I62" s="64"/>
      <c r="J62" s="66">
        <v>46171</v>
      </c>
      <c r="K62" s="66">
        <v>46171</v>
      </c>
      <c r="L62" s="66"/>
      <c r="M62" s="57"/>
      <c r="N62" s="57"/>
      <c r="O62" s="57"/>
      <c r="P62" s="57"/>
      <c r="Q62" s="57"/>
      <c r="R62" s="62"/>
    </row>
    <row r="63" spans="1:18" ht="26.4" hidden="1">
      <c r="A63" s="54" t="s">
        <v>300</v>
      </c>
      <c r="B63" s="70" t="s">
        <v>76</v>
      </c>
      <c r="C63" s="66">
        <v>46164</v>
      </c>
      <c r="D63" s="67" t="s">
        <v>156</v>
      </c>
      <c r="E63" s="68" t="s">
        <v>111</v>
      </c>
      <c r="F63" s="64" t="s">
        <v>301</v>
      </c>
      <c r="G63" s="64"/>
      <c r="H63" s="65" t="s">
        <v>46</v>
      </c>
      <c r="I63" s="64" t="s">
        <v>302</v>
      </c>
      <c r="J63" s="66">
        <v>46175</v>
      </c>
      <c r="K63" s="66">
        <v>46175</v>
      </c>
      <c r="L63" s="66"/>
      <c r="M63" s="57"/>
      <c r="N63" s="57"/>
      <c r="O63" s="57"/>
      <c r="P63" s="57"/>
      <c r="Q63" s="57"/>
      <c r="R63" s="62"/>
    </row>
    <row r="64" spans="1:18" ht="66" hidden="1">
      <c r="A64" s="54" t="s">
        <v>303</v>
      </c>
      <c r="B64" s="83" t="s">
        <v>76</v>
      </c>
      <c r="C64" s="66">
        <v>46164</v>
      </c>
      <c r="D64" s="67" t="s">
        <v>156</v>
      </c>
      <c r="E64" s="68" t="s">
        <v>77</v>
      </c>
      <c r="F64" s="64" t="s">
        <v>304</v>
      </c>
      <c r="G64" s="64" t="s">
        <v>305</v>
      </c>
      <c r="H64" s="65" t="s">
        <v>43</v>
      </c>
      <c r="I64" s="64" t="s">
        <v>306</v>
      </c>
      <c r="J64" s="66">
        <v>46164</v>
      </c>
      <c r="K64" s="66">
        <v>46164</v>
      </c>
      <c r="L64" s="66"/>
      <c r="M64" s="57"/>
      <c r="N64" s="57"/>
      <c r="O64" s="57"/>
      <c r="P64" s="57"/>
      <c r="Q64" s="57"/>
      <c r="R64" s="62"/>
    </row>
    <row r="65" spans="1:18" ht="26.4" hidden="1">
      <c r="A65" s="54" t="s">
        <v>307</v>
      </c>
      <c r="B65" s="83" t="s">
        <v>76</v>
      </c>
      <c r="C65" s="66">
        <v>46164</v>
      </c>
      <c r="D65" s="67" t="s">
        <v>156</v>
      </c>
      <c r="E65" s="68" t="s">
        <v>77</v>
      </c>
      <c r="F65" s="64" t="s">
        <v>308</v>
      </c>
      <c r="G65" s="64" t="s">
        <v>309</v>
      </c>
      <c r="H65" s="65" t="s">
        <v>43</v>
      </c>
      <c r="I65" s="64" t="s">
        <v>310</v>
      </c>
      <c r="J65" s="66">
        <v>46164</v>
      </c>
      <c r="K65" s="66">
        <v>46164</v>
      </c>
      <c r="L65" s="66"/>
      <c r="M65" s="57"/>
      <c r="N65" s="57"/>
      <c r="O65" s="57"/>
      <c r="P65" s="57"/>
      <c r="Q65" s="57"/>
      <c r="R65" s="62"/>
    </row>
    <row r="66" spans="1:18" ht="105.6" hidden="1">
      <c r="A66" s="54" t="s">
        <v>311</v>
      </c>
      <c r="B66" s="55" t="s">
        <v>76</v>
      </c>
      <c r="C66" s="66">
        <v>46164</v>
      </c>
      <c r="D66" s="67" t="s">
        <v>156</v>
      </c>
      <c r="E66" s="68" t="s">
        <v>77</v>
      </c>
      <c r="F66" s="64" t="s">
        <v>312</v>
      </c>
      <c r="G66" s="64" t="s">
        <v>204</v>
      </c>
      <c r="H66" s="65" t="s">
        <v>43</v>
      </c>
      <c r="I66" s="64" t="s">
        <v>313</v>
      </c>
      <c r="J66" s="66">
        <v>46167</v>
      </c>
      <c r="K66" s="66">
        <v>46167</v>
      </c>
      <c r="L66" s="66"/>
      <c r="M66" s="57"/>
      <c r="N66" s="57"/>
      <c r="O66" s="57"/>
      <c r="P66" s="57"/>
      <c r="Q66" s="57"/>
      <c r="R66" s="62"/>
    </row>
    <row r="67" spans="1:18" ht="26.4" hidden="1">
      <c r="A67" s="54" t="s">
        <v>314</v>
      </c>
      <c r="B67" s="55" t="s">
        <v>76</v>
      </c>
      <c r="C67" s="66">
        <v>46164</v>
      </c>
      <c r="D67" s="67" t="s">
        <v>156</v>
      </c>
      <c r="E67" s="68" t="s">
        <v>77</v>
      </c>
      <c r="F67" s="64" t="s">
        <v>315</v>
      </c>
      <c r="G67" s="64"/>
      <c r="H67" s="65" t="s">
        <v>44</v>
      </c>
      <c r="I67" s="64"/>
      <c r="J67" s="66">
        <v>46171</v>
      </c>
      <c r="K67" s="66">
        <v>46171</v>
      </c>
      <c r="L67" s="66"/>
      <c r="M67" s="57"/>
      <c r="N67" s="57"/>
      <c r="O67" s="57"/>
      <c r="P67" s="57"/>
      <c r="Q67" s="57"/>
      <c r="R67" s="62"/>
    </row>
    <row r="68" spans="1:18" hidden="1">
      <c r="A68" s="54" t="s">
        <v>316</v>
      </c>
      <c r="B68" s="55" t="s">
        <v>76</v>
      </c>
      <c r="C68" s="66">
        <v>46164</v>
      </c>
      <c r="D68" s="67" t="s">
        <v>156</v>
      </c>
      <c r="E68" s="68" t="s">
        <v>77</v>
      </c>
      <c r="F68" s="64" t="s">
        <v>317</v>
      </c>
      <c r="G68" s="64"/>
      <c r="H68" s="65" t="s">
        <v>44</v>
      </c>
      <c r="I68" s="64"/>
      <c r="J68" s="66">
        <v>46171</v>
      </c>
      <c r="K68" s="66">
        <v>46171</v>
      </c>
      <c r="L68" s="66"/>
      <c r="M68" s="57"/>
      <c r="N68" s="57"/>
      <c r="O68" s="57"/>
      <c r="P68" s="57"/>
      <c r="Q68" s="57"/>
      <c r="R68" s="62"/>
    </row>
    <row r="69" spans="1:18" ht="52.8" hidden="1">
      <c r="A69" s="54" t="s">
        <v>318</v>
      </c>
      <c r="B69" s="55" t="s">
        <v>76</v>
      </c>
      <c r="C69" s="66">
        <v>46164</v>
      </c>
      <c r="D69" s="67" t="s">
        <v>156</v>
      </c>
      <c r="E69" s="68" t="s">
        <v>77</v>
      </c>
      <c r="F69" s="64" t="s">
        <v>319</v>
      </c>
      <c r="G69" s="64" t="s">
        <v>204</v>
      </c>
      <c r="H69" s="65" t="s">
        <v>43</v>
      </c>
      <c r="I69" s="64" t="s">
        <v>320</v>
      </c>
      <c r="J69" s="66">
        <v>46171</v>
      </c>
      <c r="K69" s="66">
        <v>46171</v>
      </c>
      <c r="L69" s="66"/>
      <c r="M69" s="57"/>
      <c r="N69" s="57"/>
      <c r="O69" s="57"/>
      <c r="P69" s="57"/>
      <c r="Q69" s="57"/>
      <c r="R69" s="62"/>
    </row>
    <row r="70" spans="1:18" ht="26.4" hidden="1">
      <c r="A70" s="54" t="s">
        <v>321</v>
      </c>
      <c r="B70" s="83" t="s">
        <v>76</v>
      </c>
      <c r="C70" s="66">
        <v>46164</v>
      </c>
      <c r="D70" s="67" t="s">
        <v>156</v>
      </c>
      <c r="E70" s="68" t="s">
        <v>77</v>
      </c>
      <c r="F70" s="64" t="s">
        <v>322</v>
      </c>
      <c r="G70" s="64"/>
      <c r="H70" s="65" t="s">
        <v>44</v>
      </c>
      <c r="I70" s="64" t="s">
        <v>323</v>
      </c>
      <c r="J70" s="66">
        <v>46164</v>
      </c>
      <c r="K70" s="66">
        <v>46164</v>
      </c>
      <c r="L70" s="66"/>
      <c r="M70" s="57"/>
      <c r="N70" s="57"/>
      <c r="O70" s="57"/>
      <c r="P70" s="57"/>
      <c r="Q70" s="57"/>
      <c r="R70" s="62"/>
    </row>
    <row r="71" spans="1:18" ht="26.4" hidden="1">
      <c r="A71" s="54" t="s">
        <v>324</v>
      </c>
      <c r="B71" s="83" t="s">
        <v>76</v>
      </c>
      <c r="C71" s="66">
        <v>46164</v>
      </c>
      <c r="D71" s="67" t="s">
        <v>156</v>
      </c>
      <c r="E71" s="68" t="s">
        <v>77</v>
      </c>
      <c r="F71" s="64" t="s">
        <v>325</v>
      </c>
      <c r="G71" s="64" t="s">
        <v>204</v>
      </c>
      <c r="H71" s="65" t="s">
        <v>43</v>
      </c>
      <c r="I71" s="64" t="s">
        <v>326</v>
      </c>
      <c r="J71" s="66">
        <v>46164</v>
      </c>
      <c r="K71" s="66">
        <v>46164</v>
      </c>
      <c r="L71" s="66"/>
      <c r="M71" s="57"/>
      <c r="N71" s="57"/>
      <c r="O71" s="57"/>
      <c r="P71" s="57"/>
      <c r="Q71" s="57"/>
      <c r="R71" s="62"/>
    </row>
    <row r="72" spans="1:18" ht="26.4" hidden="1">
      <c r="A72" s="54" t="s">
        <v>327</v>
      </c>
      <c r="B72" s="83" t="s">
        <v>76</v>
      </c>
      <c r="C72" s="66">
        <v>46164</v>
      </c>
      <c r="D72" s="67" t="s">
        <v>156</v>
      </c>
      <c r="E72" s="68" t="s">
        <v>77</v>
      </c>
      <c r="F72" s="64" t="s">
        <v>328</v>
      </c>
      <c r="G72" s="64" t="s">
        <v>204</v>
      </c>
      <c r="H72" s="65" t="s">
        <v>43</v>
      </c>
      <c r="I72" s="64" t="s">
        <v>329</v>
      </c>
      <c r="J72" s="66">
        <v>46164</v>
      </c>
      <c r="K72" s="66">
        <v>46164</v>
      </c>
      <c r="L72" s="66"/>
      <c r="M72" s="57"/>
      <c r="N72" s="57"/>
      <c r="O72" s="57"/>
      <c r="P72" s="57"/>
      <c r="Q72" s="57"/>
      <c r="R72" s="62"/>
    </row>
    <row r="73" spans="1:18" ht="92.4" hidden="1">
      <c r="A73" s="54" t="s">
        <v>330</v>
      </c>
      <c r="B73" s="55" t="s">
        <v>76</v>
      </c>
      <c r="C73" s="66">
        <v>46164</v>
      </c>
      <c r="D73" s="67" t="s">
        <v>156</v>
      </c>
      <c r="E73" s="68" t="s">
        <v>77</v>
      </c>
      <c r="F73" s="64" t="s">
        <v>331</v>
      </c>
      <c r="G73" s="64"/>
      <c r="H73" s="65" t="s">
        <v>332</v>
      </c>
      <c r="I73" s="64" t="s">
        <v>333</v>
      </c>
      <c r="J73" s="66">
        <v>46169</v>
      </c>
      <c r="K73" s="66">
        <v>46175</v>
      </c>
      <c r="L73" s="66"/>
      <c r="M73" s="57"/>
      <c r="N73" s="57"/>
      <c r="O73" s="57"/>
      <c r="P73" s="57"/>
      <c r="Q73" s="57"/>
      <c r="R73" s="62"/>
    </row>
    <row r="74" spans="1:18" ht="39.6" hidden="1">
      <c r="A74" s="54" t="s">
        <v>334</v>
      </c>
      <c r="B74" s="55" t="s">
        <v>76</v>
      </c>
      <c r="C74" s="66">
        <v>46164</v>
      </c>
      <c r="D74" s="67" t="s">
        <v>156</v>
      </c>
      <c r="E74" s="68" t="s">
        <v>77</v>
      </c>
      <c r="F74" s="64" t="s">
        <v>335</v>
      </c>
      <c r="G74" s="64" t="s">
        <v>201</v>
      </c>
      <c r="H74" s="65" t="s">
        <v>43</v>
      </c>
      <c r="I74" s="64" t="s">
        <v>336</v>
      </c>
      <c r="J74" s="69" t="s">
        <v>337</v>
      </c>
      <c r="K74" s="66">
        <v>46216</v>
      </c>
      <c r="L74" s="66"/>
      <c r="M74" s="57"/>
      <c r="N74" s="57"/>
      <c r="O74" s="57"/>
      <c r="P74" s="57"/>
      <c r="Q74" s="57"/>
      <c r="R74" s="62"/>
    </row>
    <row r="75" spans="1:18" ht="52.8">
      <c r="A75" s="54" t="s">
        <v>338</v>
      </c>
      <c r="B75" s="55" t="s">
        <v>339</v>
      </c>
      <c r="C75" s="66">
        <v>46164</v>
      </c>
      <c r="D75" s="67" t="s">
        <v>156</v>
      </c>
      <c r="E75" s="68" t="s">
        <v>340</v>
      </c>
      <c r="F75" s="64" t="s">
        <v>341</v>
      </c>
      <c r="G75" s="64" t="s">
        <v>342</v>
      </c>
      <c r="H75" s="65" t="s">
        <v>43</v>
      </c>
      <c r="I75" s="64" t="s">
        <v>343</v>
      </c>
      <c r="J75" s="66" t="s">
        <v>50</v>
      </c>
      <c r="K75" s="66"/>
      <c r="L75" s="66"/>
      <c r="M75" s="57"/>
      <c r="N75" s="57"/>
      <c r="O75" s="57"/>
      <c r="P75" s="57"/>
      <c r="Q75" s="57"/>
      <c r="R75" s="62"/>
    </row>
    <row r="76" spans="1:18" ht="26.4">
      <c r="A76" s="54" t="s">
        <v>344</v>
      </c>
      <c r="B76" s="55" t="s">
        <v>291</v>
      </c>
      <c r="C76" s="66">
        <v>46164</v>
      </c>
      <c r="D76" s="67" t="s">
        <v>156</v>
      </c>
      <c r="E76" s="68" t="s">
        <v>77</v>
      </c>
      <c r="F76" s="64" t="s">
        <v>345</v>
      </c>
      <c r="G76" s="64"/>
      <c r="H76" s="65" t="s">
        <v>156</v>
      </c>
      <c r="I76" s="64" t="s">
        <v>346</v>
      </c>
      <c r="J76" s="69" t="s">
        <v>347</v>
      </c>
      <c r="K76" s="66"/>
      <c r="L76" s="66"/>
      <c r="M76" s="57"/>
      <c r="N76" s="57"/>
      <c r="O76" s="57"/>
      <c r="P76" s="57"/>
      <c r="Q76" s="57"/>
      <c r="R76" s="62"/>
    </row>
    <row r="77" spans="1:18" ht="39.6" hidden="1">
      <c r="A77" s="54" t="s">
        <v>348</v>
      </c>
      <c r="B77" s="83" t="s">
        <v>76</v>
      </c>
      <c r="C77" s="66">
        <v>46164</v>
      </c>
      <c r="D77" s="67" t="s">
        <v>156</v>
      </c>
      <c r="E77" s="68" t="s">
        <v>77</v>
      </c>
      <c r="F77" s="64" t="s">
        <v>349</v>
      </c>
      <c r="G77" s="64"/>
      <c r="H77" s="65" t="s">
        <v>44</v>
      </c>
      <c r="I77" s="64" t="s">
        <v>350</v>
      </c>
      <c r="J77" s="66">
        <v>46164</v>
      </c>
      <c r="K77" s="66">
        <v>46164</v>
      </c>
      <c r="L77" s="66"/>
      <c r="M77" s="57"/>
      <c r="N77" s="57"/>
      <c r="O77" s="57"/>
      <c r="P77" s="57"/>
      <c r="Q77" s="57"/>
      <c r="R77" s="62"/>
    </row>
    <row r="78" spans="1:18" ht="175.95" customHeight="1">
      <c r="A78" s="54" t="s">
        <v>351</v>
      </c>
      <c r="B78" s="70" t="s">
        <v>352</v>
      </c>
      <c r="C78" s="66">
        <v>46168</v>
      </c>
      <c r="D78" s="67" t="s">
        <v>38</v>
      </c>
      <c r="E78" s="68" t="s">
        <v>77</v>
      </c>
      <c r="F78" s="84" t="s">
        <v>353</v>
      </c>
      <c r="G78" s="64"/>
      <c r="H78" s="65"/>
      <c r="I78" s="64" t="s">
        <v>354</v>
      </c>
      <c r="J78" s="66">
        <v>46219</v>
      </c>
      <c r="K78" s="66"/>
      <c r="L78" s="66"/>
      <c r="M78" s="57"/>
      <c r="N78" s="57"/>
      <c r="O78" s="57"/>
      <c r="P78" s="57"/>
      <c r="Q78" s="57"/>
      <c r="R78" s="62"/>
    </row>
    <row r="79" spans="1:18" ht="36" hidden="1" customHeight="1">
      <c r="A79" s="54" t="s">
        <v>355</v>
      </c>
      <c r="B79" s="81" t="s">
        <v>76</v>
      </c>
      <c r="C79" s="66">
        <v>46168</v>
      </c>
      <c r="D79" s="67" t="s">
        <v>38</v>
      </c>
      <c r="E79" s="68" t="s">
        <v>77</v>
      </c>
      <c r="F79" s="64" t="s">
        <v>356</v>
      </c>
      <c r="G79" s="64" t="s">
        <v>357</v>
      </c>
      <c r="H79" s="65"/>
      <c r="I79" s="64" t="s">
        <v>358</v>
      </c>
      <c r="J79" s="66"/>
      <c r="K79" s="66"/>
      <c r="L79" s="66"/>
      <c r="M79" s="57"/>
      <c r="N79" s="57"/>
      <c r="O79" s="57"/>
      <c r="P79" s="57"/>
      <c r="Q79" s="57"/>
      <c r="R79" s="62"/>
    </row>
    <row r="80" spans="1:18" ht="36" hidden="1" customHeight="1">
      <c r="A80" s="54" t="s">
        <v>359</v>
      </c>
      <c r="B80" s="81" t="s">
        <v>76</v>
      </c>
      <c r="C80" s="66">
        <v>46169</v>
      </c>
      <c r="D80" s="67" t="s">
        <v>0</v>
      </c>
      <c r="E80" s="68" t="s">
        <v>77</v>
      </c>
      <c r="F80" s="64" t="s">
        <v>360</v>
      </c>
      <c r="G80" s="64" t="s">
        <v>361</v>
      </c>
      <c r="H80" s="65" t="s">
        <v>45</v>
      </c>
      <c r="I80" s="64" t="s">
        <v>362</v>
      </c>
      <c r="J80" s="66">
        <v>46170</v>
      </c>
      <c r="K80" s="66">
        <v>46170</v>
      </c>
      <c r="L80" s="66"/>
      <c r="M80" s="57"/>
      <c r="N80" s="57"/>
      <c r="O80" s="57"/>
      <c r="P80" s="57"/>
      <c r="Q80" s="57"/>
      <c r="R80" s="62"/>
    </row>
    <row r="81" spans="1:18" ht="43.05" hidden="1" customHeight="1">
      <c r="A81" s="54" t="s">
        <v>363</v>
      </c>
      <c r="B81" s="70" t="s">
        <v>76</v>
      </c>
      <c r="C81" s="66">
        <v>46170</v>
      </c>
      <c r="D81" s="67" t="s">
        <v>38</v>
      </c>
      <c r="E81" s="68" t="s">
        <v>77</v>
      </c>
      <c r="F81" s="64" t="s">
        <v>364</v>
      </c>
      <c r="G81" s="64" t="s">
        <v>365</v>
      </c>
      <c r="H81" s="65"/>
      <c r="I81" s="64" t="s">
        <v>366</v>
      </c>
      <c r="J81" s="66">
        <v>46205</v>
      </c>
      <c r="K81" s="66">
        <v>46205</v>
      </c>
      <c r="L81" s="66"/>
      <c r="M81" s="57"/>
      <c r="N81" s="57"/>
      <c r="O81" s="57"/>
      <c r="P81" s="57"/>
      <c r="Q81" s="57"/>
      <c r="R81" s="62"/>
    </row>
    <row r="82" spans="1:18" ht="39.6" hidden="1">
      <c r="A82" s="54" t="s">
        <v>367</v>
      </c>
      <c r="B82" s="70" t="s">
        <v>76</v>
      </c>
      <c r="C82" s="66">
        <v>46171</v>
      </c>
      <c r="D82" s="67" t="s">
        <v>156</v>
      </c>
      <c r="E82" s="68" t="s">
        <v>77</v>
      </c>
      <c r="F82" s="64" t="s">
        <v>368</v>
      </c>
      <c r="G82" s="64"/>
      <c r="H82" s="65" t="s">
        <v>34</v>
      </c>
      <c r="I82" s="64" t="s">
        <v>369</v>
      </c>
      <c r="J82" s="66"/>
      <c r="K82" s="66"/>
      <c r="L82" s="66"/>
      <c r="M82" s="57"/>
      <c r="N82" s="57"/>
      <c r="O82" s="57"/>
      <c r="P82" s="57"/>
      <c r="Q82" s="57"/>
      <c r="R82" s="62"/>
    </row>
    <row r="83" spans="1:18" ht="39.6" hidden="1">
      <c r="A83" s="54" t="s">
        <v>370</v>
      </c>
      <c r="B83" s="55" t="s">
        <v>76</v>
      </c>
      <c r="C83" s="66">
        <v>46171</v>
      </c>
      <c r="D83" s="67" t="s">
        <v>156</v>
      </c>
      <c r="E83" s="68" t="s">
        <v>77</v>
      </c>
      <c r="F83" s="64" t="s">
        <v>371</v>
      </c>
      <c r="G83" s="64" t="s">
        <v>372</v>
      </c>
      <c r="H83" s="65" t="s">
        <v>42</v>
      </c>
      <c r="I83" s="64" t="s">
        <v>373</v>
      </c>
      <c r="J83" s="66">
        <v>46171</v>
      </c>
      <c r="K83" s="66">
        <v>46171</v>
      </c>
      <c r="L83" s="66"/>
      <c r="M83" s="57"/>
      <c r="N83" s="57"/>
      <c r="O83" s="57"/>
      <c r="P83" s="57"/>
      <c r="Q83" s="57"/>
      <c r="R83" s="62"/>
    </row>
    <row r="84" spans="1:18" ht="46.95" hidden="1" customHeight="1">
      <c r="A84" s="54" t="s">
        <v>374</v>
      </c>
      <c r="B84" s="81" t="s">
        <v>76</v>
      </c>
      <c r="C84" s="66">
        <v>46171</v>
      </c>
      <c r="D84" s="67" t="s">
        <v>41</v>
      </c>
      <c r="E84" s="68" t="s">
        <v>77</v>
      </c>
      <c r="F84" s="64" t="s">
        <v>375</v>
      </c>
      <c r="G84" s="64"/>
      <c r="H84" s="65" t="s">
        <v>36</v>
      </c>
      <c r="I84" s="64" t="s">
        <v>376</v>
      </c>
      <c r="J84" s="66"/>
      <c r="K84" s="66"/>
      <c r="L84" s="66"/>
      <c r="M84" s="57"/>
      <c r="N84" s="57"/>
      <c r="O84" s="57"/>
      <c r="P84" s="57"/>
      <c r="Q84" s="57"/>
      <c r="R84" s="62"/>
    </row>
    <row r="85" spans="1:18" ht="66" hidden="1">
      <c r="A85" s="54" t="s">
        <v>377</v>
      </c>
      <c r="B85" s="55" t="s">
        <v>76</v>
      </c>
      <c r="C85" s="66">
        <v>46175</v>
      </c>
      <c r="D85" s="67" t="s">
        <v>156</v>
      </c>
      <c r="E85" s="68" t="s">
        <v>77</v>
      </c>
      <c r="F85" s="64" t="s">
        <v>378</v>
      </c>
      <c r="G85" s="64" t="s">
        <v>379</v>
      </c>
      <c r="H85" s="65" t="s">
        <v>43</v>
      </c>
      <c r="I85" s="64" t="s">
        <v>380</v>
      </c>
      <c r="J85" s="66">
        <v>46175</v>
      </c>
      <c r="K85" s="66">
        <v>46175</v>
      </c>
      <c r="L85" s="66"/>
      <c r="M85" s="57"/>
      <c r="N85" s="57"/>
      <c r="O85" s="57"/>
      <c r="P85" s="57"/>
      <c r="Q85" s="57"/>
      <c r="R85" s="62"/>
    </row>
    <row r="86" spans="1:18" ht="92.4" hidden="1">
      <c r="A86" s="54" t="s">
        <v>381</v>
      </c>
      <c r="B86" s="70" t="s">
        <v>76</v>
      </c>
      <c r="C86" s="66">
        <v>46175</v>
      </c>
      <c r="D86" s="67" t="s">
        <v>156</v>
      </c>
      <c r="E86" s="68" t="s">
        <v>77</v>
      </c>
      <c r="F86" s="64" t="s">
        <v>382</v>
      </c>
      <c r="G86" s="64" t="s">
        <v>383</v>
      </c>
      <c r="H86" s="65" t="s">
        <v>43</v>
      </c>
      <c r="I86" s="64" t="s">
        <v>384</v>
      </c>
      <c r="J86" s="66">
        <v>46176</v>
      </c>
      <c r="K86" s="56">
        <v>46193</v>
      </c>
      <c r="L86" s="66"/>
      <c r="M86" s="57"/>
      <c r="N86" s="57"/>
      <c r="O86" s="57"/>
      <c r="P86" s="57"/>
      <c r="Q86" s="57"/>
      <c r="R86" s="62"/>
    </row>
    <row r="87" spans="1:18" ht="184.8" hidden="1">
      <c r="A87" s="54" t="s">
        <v>385</v>
      </c>
      <c r="B87" s="70" t="s">
        <v>76</v>
      </c>
      <c r="C87" s="66">
        <v>46178</v>
      </c>
      <c r="D87" s="67" t="s">
        <v>38</v>
      </c>
      <c r="E87" s="68" t="s">
        <v>77</v>
      </c>
      <c r="F87" s="64" t="s">
        <v>386</v>
      </c>
      <c r="G87" s="64" t="s">
        <v>387</v>
      </c>
      <c r="H87" s="65"/>
      <c r="I87" s="64" t="s">
        <v>388</v>
      </c>
      <c r="J87" s="66"/>
      <c r="K87" s="66"/>
      <c r="L87" s="66"/>
      <c r="M87" s="57"/>
      <c r="N87" s="57"/>
      <c r="O87" s="57"/>
      <c r="P87" s="57"/>
      <c r="Q87" s="57"/>
      <c r="R87" s="62"/>
    </row>
    <row r="88" spans="1:18" ht="37.049999999999997" hidden="1" customHeight="1">
      <c r="A88" s="54" t="s">
        <v>389</v>
      </c>
      <c r="B88" s="70" t="s">
        <v>76</v>
      </c>
      <c r="C88" s="66">
        <v>46182</v>
      </c>
      <c r="D88" s="67" t="s">
        <v>36</v>
      </c>
      <c r="E88" s="68" t="s">
        <v>77</v>
      </c>
      <c r="F88" s="64" t="s">
        <v>390</v>
      </c>
      <c r="G88" s="64" t="s">
        <v>233</v>
      </c>
      <c r="H88" s="65"/>
      <c r="I88" s="64" t="s">
        <v>391</v>
      </c>
      <c r="J88" s="66"/>
      <c r="K88" s="66"/>
      <c r="L88" s="66"/>
      <c r="M88" s="57"/>
      <c r="N88" s="57"/>
      <c r="O88" s="57"/>
      <c r="P88" s="57"/>
      <c r="Q88" s="57"/>
      <c r="R88" s="62"/>
    </row>
    <row r="89" spans="1:18" ht="39.6">
      <c r="A89" s="54" t="s">
        <v>392</v>
      </c>
      <c r="B89" s="70" t="s">
        <v>352</v>
      </c>
      <c r="C89" s="56">
        <v>46182</v>
      </c>
      <c r="D89" s="57" t="s">
        <v>156</v>
      </c>
      <c r="E89" s="58" t="s">
        <v>77</v>
      </c>
      <c r="F89" s="59" t="s">
        <v>393</v>
      </c>
      <c r="G89" s="59"/>
      <c r="H89" s="60" t="s">
        <v>46</v>
      </c>
      <c r="I89" s="59" t="s">
        <v>394</v>
      </c>
      <c r="J89" s="61" t="s">
        <v>395</v>
      </c>
      <c r="K89" s="56"/>
      <c r="L89" s="56"/>
      <c r="M89" s="57"/>
      <c r="N89" s="57"/>
      <c r="O89" s="57"/>
      <c r="P89" s="57"/>
      <c r="Q89" s="57"/>
      <c r="R89" s="62"/>
    </row>
    <row r="90" spans="1:18" ht="158.4" hidden="1">
      <c r="A90" s="54" t="s">
        <v>396</v>
      </c>
      <c r="B90" s="70" t="s">
        <v>76</v>
      </c>
      <c r="C90" s="56">
        <v>46182</v>
      </c>
      <c r="D90" s="57" t="s">
        <v>156</v>
      </c>
      <c r="E90" s="58" t="s">
        <v>77</v>
      </c>
      <c r="F90" s="59" t="s">
        <v>397</v>
      </c>
      <c r="G90" s="59" t="s">
        <v>398</v>
      </c>
      <c r="H90" s="60" t="s">
        <v>44</v>
      </c>
      <c r="I90" s="59" t="s">
        <v>399</v>
      </c>
      <c r="J90" s="56">
        <v>46185</v>
      </c>
      <c r="K90" s="56">
        <v>46193</v>
      </c>
      <c r="L90" s="56"/>
      <c r="M90" s="57"/>
      <c r="N90" s="57"/>
      <c r="O90" s="57"/>
      <c r="P90" s="57"/>
      <c r="Q90" s="57"/>
      <c r="R90" s="62"/>
    </row>
    <row r="91" spans="1:18" ht="52.8" hidden="1">
      <c r="A91" s="54" t="s">
        <v>400</v>
      </c>
      <c r="B91" s="70" t="s">
        <v>76</v>
      </c>
      <c r="C91" s="56">
        <v>46182</v>
      </c>
      <c r="D91" s="57" t="s">
        <v>156</v>
      </c>
      <c r="E91" s="58" t="s">
        <v>77</v>
      </c>
      <c r="F91" s="59" t="s">
        <v>401</v>
      </c>
      <c r="G91" s="59" t="s">
        <v>402</v>
      </c>
      <c r="H91" s="60" t="s">
        <v>46</v>
      </c>
      <c r="I91" s="59" t="s">
        <v>403</v>
      </c>
      <c r="J91" s="56">
        <v>46185</v>
      </c>
      <c r="K91" s="56">
        <v>46193</v>
      </c>
      <c r="L91" s="56"/>
      <c r="M91" s="57"/>
      <c r="N91" s="57"/>
      <c r="O91" s="57"/>
      <c r="P91" s="57"/>
      <c r="Q91" s="57"/>
      <c r="R91" s="62"/>
    </row>
    <row r="92" spans="1:18" ht="118.8" hidden="1">
      <c r="A92" s="54" t="s">
        <v>404</v>
      </c>
      <c r="B92" s="70" t="s">
        <v>76</v>
      </c>
      <c r="C92" s="56">
        <v>46182</v>
      </c>
      <c r="D92" s="57" t="s">
        <v>156</v>
      </c>
      <c r="E92" s="58" t="s">
        <v>77</v>
      </c>
      <c r="F92" s="59" t="s">
        <v>405</v>
      </c>
      <c r="G92" s="59" t="s">
        <v>406</v>
      </c>
      <c r="H92" s="60" t="s">
        <v>407</v>
      </c>
      <c r="I92" s="59" t="s">
        <v>408</v>
      </c>
      <c r="J92" s="61" t="s">
        <v>409</v>
      </c>
      <c r="K92" s="56"/>
      <c r="L92" s="56"/>
      <c r="M92" s="57"/>
      <c r="N92" s="57"/>
      <c r="O92" s="57"/>
      <c r="P92" s="57"/>
      <c r="Q92" s="57"/>
      <c r="R92" s="62"/>
    </row>
    <row r="93" spans="1:18" ht="52.8">
      <c r="A93" s="54" t="s">
        <v>410</v>
      </c>
      <c r="B93" s="85" t="s">
        <v>339</v>
      </c>
      <c r="C93" s="66">
        <v>46182</v>
      </c>
      <c r="D93" s="67" t="s">
        <v>156</v>
      </c>
      <c r="E93" s="68" t="s">
        <v>77</v>
      </c>
      <c r="F93" s="64" t="s">
        <v>411</v>
      </c>
      <c r="G93" s="64" t="s">
        <v>412</v>
      </c>
      <c r="H93" s="65" t="s">
        <v>156</v>
      </c>
      <c r="I93" s="64" t="s">
        <v>413</v>
      </c>
      <c r="J93" s="69" t="s">
        <v>414</v>
      </c>
      <c r="K93" s="66"/>
      <c r="L93" s="66"/>
      <c r="M93" s="57"/>
      <c r="N93" s="57"/>
      <c r="O93" s="57"/>
      <c r="P93" s="57"/>
      <c r="Q93" s="57"/>
      <c r="R93" s="62"/>
    </row>
    <row r="94" spans="1:18" hidden="1">
      <c r="A94" s="54" t="s">
        <v>415</v>
      </c>
      <c r="B94" s="70" t="s">
        <v>76</v>
      </c>
      <c r="C94" s="66">
        <v>46182</v>
      </c>
      <c r="D94" s="67" t="s">
        <v>156</v>
      </c>
      <c r="E94" s="68" t="s">
        <v>77</v>
      </c>
      <c r="F94" s="64" t="s">
        <v>416</v>
      </c>
      <c r="G94" s="64" t="s">
        <v>417</v>
      </c>
      <c r="H94" s="65" t="s">
        <v>156</v>
      </c>
      <c r="I94" s="64"/>
      <c r="J94" s="66">
        <v>46193</v>
      </c>
      <c r="K94" s="66"/>
      <c r="L94" s="66"/>
      <c r="M94" s="57"/>
      <c r="N94" s="57"/>
      <c r="O94" s="57"/>
      <c r="P94" s="57"/>
      <c r="Q94" s="57"/>
      <c r="R94" s="62"/>
    </row>
    <row r="95" spans="1:18">
      <c r="A95" s="54" t="s">
        <v>418</v>
      </c>
      <c r="B95" s="85" t="s">
        <v>339</v>
      </c>
      <c r="C95" s="66">
        <v>46189</v>
      </c>
      <c r="D95" s="67" t="s">
        <v>1</v>
      </c>
      <c r="E95" s="68" t="s">
        <v>111</v>
      </c>
      <c r="F95" s="64" t="s">
        <v>419</v>
      </c>
      <c r="G95" s="64"/>
      <c r="H95" s="65" t="s">
        <v>34</v>
      </c>
      <c r="I95" s="64"/>
      <c r="J95" s="66">
        <v>46223</v>
      </c>
      <c r="K95" s="66"/>
      <c r="L95" s="66"/>
      <c r="M95" s="57"/>
      <c r="N95" s="57"/>
      <c r="O95" s="57"/>
      <c r="P95" s="57"/>
      <c r="Q95" s="57"/>
      <c r="R95" s="62"/>
    </row>
    <row r="96" spans="1:18" ht="26.4" hidden="1">
      <c r="A96" s="54" t="s">
        <v>420</v>
      </c>
      <c r="B96" s="55" t="s">
        <v>76</v>
      </c>
      <c r="C96" s="66">
        <v>46190</v>
      </c>
      <c r="D96" s="67" t="s">
        <v>156</v>
      </c>
      <c r="E96" s="68" t="s">
        <v>77</v>
      </c>
      <c r="F96" s="64" t="s">
        <v>421</v>
      </c>
      <c r="G96" s="64" t="s">
        <v>422</v>
      </c>
      <c r="H96" s="65" t="s">
        <v>407</v>
      </c>
      <c r="I96" s="64"/>
      <c r="J96" s="66">
        <v>46203</v>
      </c>
      <c r="K96" s="66">
        <v>46193</v>
      </c>
      <c r="L96" s="66"/>
      <c r="M96" s="57"/>
      <c r="N96" s="57"/>
      <c r="O96" s="57"/>
      <c r="P96" s="57"/>
      <c r="Q96" s="57"/>
      <c r="R96" s="62"/>
    </row>
    <row r="97" spans="1:18" ht="187.05" hidden="1" customHeight="1">
      <c r="A97" s="54" t="s">
        <v>423</v>
      </c>
      <c r="B97" s="55" t="s">
        <v>76</v>
      </c>
      <c r="C97" s="66">
        <v>46188</v>
      </c>
      <c r="D97" s="86" t="s">
        <v>47</v>
      </c>
      <c r="E97" s="68" t="s">
        <v>77</v>
      </c>
      <c r="F97" s="87" t="s">
        <v>424</v>
      </c>
      <c r="G97" s="64"/>
      <c r="H97" s="65" t="s">
        <v>41</v>
      </c>
      <c r="I97" s="64" t="s">
        <v>425</v>
      </c>
      <c r="J97" s="66">
        <v>46210</v>
      </c>
      <c r="K97" s="66">
        <v>46214</v>
      </c>
      <c r="L97" s="66"/>
      <c r="M97" s="57"/>
      <c r="N97" s="57"/>
      <c r="O97" s="57"/>
      <c r="P97" s="57"/>
      <c r="Q97" s="57"/>
      <c r="R97" s="62"/>
    </row>
    <row r="98" spans="1:18" ht="34.049999999999997" hidden="1" customHeight="1">
      <c r="A98" s="54" t="s">
        <v>426</v>
      </c>
      <c r="B98" s="70" t="s">
        <v>76</v>
      </c>
      <c r="C98" s="66">
        <v>46197</v>
      </c>
      <c r="D98" s="67" t="s">
        <v>36</v>
      </c>
      <c r="E98" s="68" t="s">
        <v>77</v>
      </c>
      <c r="F98" s="64" t="s">
        <v>427</v>
      </c>
      <c r="G98" s="64"/>
      <c r="H98" s="65" t="s">
        <v>34</v>
      </c>
      <c r="I98" s="64" t="s">
        <v>428</v>
      </c>
      <c r="J98" s="66">
        <v>46203</v>
      </c>
      <c r="K98" s="66">
        <v>46203</v>
      </c>
      <c r="L98" s="66"/>
      <c r="M98" s="57"/>
      <c r="N98" s="57"/>
      <c r="O98" s="57"/>
      <c r="P98" s="57"/>
      <c r="Q98" s="57"/>
      <c r="R98" s="62"/>
    </row>
    <row r="99" spans="1:18" ht="158.4" hidden="1">
      <c r="A99" s="54" t="s">
        <v>429</v>
      </c>
      <c r="B99" s="70" t="s">
        <v>76</v>
      </c>
      <c r="C99" s="66">
        <v>46205</v>
      </c>
      <c r="D99" s="67" t="s">
        <v>156</v>
      </c>
      <c r="E99" s="68" t="s">
        <v>77</v>
      </c>
      <c r="F99" s="64" t="s">
        <v>430</v>
      </c>
      <c r="G99" s="64" t="s">
        <v>431</v>
      </c>
      <c r="H99" s="65" t="s">
        <v>432</v>
      </c>
      <c r="I99" s="64" t="s">
        <v>433</v>
      </c>
      <c r="J99" s="66">
        <v>46218</v>
      </c>
      <c r="K99" s="66">
        <v>46216</v>
      </c>
      <c r="L99" s="66"/>
      <c r="M99" s="57"/>
      <c r="N99" s="57"/>
      <c r="O99" s="57"/>
      <c r="P99" s="57"/>
      <c r="Q99" s="57"/>
      <c r="R99" s="62"/>
    </row>
    <row r="100" spans="1:18" ht="26.4">
      <c r="A100" s="54" t="s">
        <v>434</v>
      </c>
      <c r="B100" s="70" t="s">
        <v>352</v>
      </c>
      <c r="C100" s="66">
        <v>46205</v>
      </c>
      <c r="D100" s="67" t="s">
        <v>156</v>
      </c>
      <c r="E100" s="68" t="s">
        <v>77</v>
      </c>
      <c r="F100" s="64" t="s">
        <v>435</v>
      </c>
      <c r="G100" s="64" t="s">
        <v>436</v>
      </c>
      <c r="H100" s="65" t="s">
        <v>432</v>
      </c>
      <c r="I100" s="64"/>
      <c r="J100" s="66">
        <v>46218</v>
      </c>
      <c r="K100" s="66"/>
      <c r="L100" s="66"/>
      <c r="M100" s="57"/>
      <c r="N100" s="57"/>
      <c r="O100" s="57"/>
      <c r="P100" s="57"/>
      <c r="Q100" s="57"/>
      <c r="R100" s="62"/>
    </row>
    <row r="101" spans="1:18" ht="26.4">
      <c r="A101" s="54" t="s">
        <v>437</v>
      </c>
      <c r="B101" s="70" t="s">
        <v>339</v>
      </c>
      <c r="C101" s="66">
        <v>46205</v>
      </c>
      <c r="D101" s="67" t="s">
        <v>156</v>
      </c>
      <c r="E101" s="68" t="s">
        <v>77</v>
      </c>
      <c r="F101" s="64" t="s">
        <v>438</v>
      </c>
      <c r="G101" s="64" t="s">
        <v>439</v>
      </c>
      <c r="H101" s="65" t="s">
        <v>46</v>
      </c>
      <c r="I101" s="64"/>
      <c r="J101" s="66">
        <v>46233</v>
      </c>
      <c r="K101" s="66"/>
      <c r="L101" s="66"/>
      <c r="M101" s="57"/>
      <c r="N101" s="57"/>
      <c r="O101" s="57"/>
      <c r="P101" s="57"/>
      <c r="Q101" s="57"/>
      <c r="R101" s="62"/>
    </row>
    <row r="102" spans="1:18" ht="39.6">
      <c r="A102" s="88" t="s">
        <v>440</v>
      </c>
      <c r="B102" s="89" t="s">
        <v>339</v>
      </c>
      <c r="C102" s="90">
        <v>46211</v>
      </c>
      <c r="D102" s="91" t="s">
        <v>0</v>
      </c>
      <c r="E102" s="92" t="s">
        <v>111</v>
      </c>
      <c r="F102" s="93" t="s">
        <v>441</v>
      </c>
      <c r="G102" s="93"/>
      <c r="H102" s="94" t="s">
        <v>34</v>
      </c>
      <c r="I102" s="93"/>
      <c r="J102" s="90" t="s">
        <v>50</v>
      </c>
      <c r="K102" s="90"/>
      <c r="L102" s="66"/>
      <c r="M102" s="57"/>
      <c r="N102" s="57"/>
      <c r="O102" s="57"/>
      <c r="P102" s="57"/>
      <c r="Q102" s="57"/>
      <c r="R102" s="62"/>
    </row>
    <row r="103" spans="1:18" ht="31.2">
      <c r="A103" s="54" t="s">
        <v>442</v>
      </c>
      <c r="B103" s="70" t="s">
        <v>291</v>
      </c>
      <c r="C103" s="66">
        <v>46227</v>
      </c>
      <c r="D103" s="67" t="s">
        <v>156</v>
      </c>
      <c r="E103" s="68" t="s">
        <v>77</v>
      </c>
      <c r="F103" s="95" t="s">
        <v>443</v>
      </c>
      <c r="G103" s="96"/>
      <c r="H103" s="97" t="s">
        <v>46</v>
      </c>
      <c r="I103" s="98"/>
      <c r="J103" s="96"/>
      <c r="K103" s="96"/>
      <c r="L103" s="99"/>
      <c r="M103" s="96"/>
      <c r="N103" s="96"/>
      <c r="O103" s="96"/>
      <c r="P103" s="96"/>
      <c r="Q103" s="96"/>
      <c r="R103" s="96"/>
    </row>
    <row r="104" spans="1:18" ht="31.2">
      <c r="A104" s="54" t="s">
        <v>444</v>
      </c>
      <c r="B104" s="70" t="s">
        <v>291</v>
      </c>
      <c r="C104" s="66">
        <v>46227</v>
      </c>
      <c r="D104" s="67" t="s">
        <v>156</v>
      </c>
      <c r="E104" s="68" t="s">
        <v>77</v>
      </c>
      <c r="F104" s="100" t="s">
        <v>445</v>
      </c>
      <c r="G104" s="96"/>
      <c r="H104" s="94" t="s">
        <v>34</v>
      </c>
      <c r="I104" s="98" t="s">
        <v>446</v>
      </c>
      <c r="J104" s="90" t="s">
        <v>50</v>
      </c>
      <c r="K104" s="96"/>
      <c r="L104" s="99"/>
      <c r="M104" s="96"/>
      <c r="N104" s="96"/>
      <c r="O104" s="96"/>
      <c r="P104" s="96"/>
      <c r="Q104" s="96"/>
      <c r="R104" s="96"/>
    </row>
    <row r="105" spans="1:18">
      <c r="A105" s="54" t="s">
        <v>447</v>
      </c>
      <c r="B105" s="70" t="s">
        <v>291</v>
      </c>
      <c r="C105" s="66">
        <v>46227</v>
      </c>
      <c r="D105" s="67" t="s">
        <v>156</v>
      </c>
      <c r="E105" s="68" t="s">
        <v>77</v>
      </c>
      <c r="F105" s="100" t="s">
        <v>448</v>
      </c>
      <c r="G105" s="96"/>
      <c r="H105" s="94" t="s">
        <v>34</v>
      </c>
      <c r="I105" s="98" t="s">
        <v>446</v>
      </c>
      <c r="J105" s="90" t="s">
        <v>50</v>
      </c>
      <c r="K105" s="96"/>
      <c r="L105" s="99"/>
      <c r="M105" s="96"/>
      <c r="N105" s="96"/>
      <c r="O105" s="96"/>
      <c r="P105" s="96"/>
      <c r="Q105" s="96"/>
      <c r="R105" s="96"/>
    </row>
    <row r="106" spans="1:18" ht="31.2">
      <c r="A106" s="54" t="s">
        <v>449</v>
      </c>
      <c r="B106" s="70" t="s">
        <v>291</v>
      </c>
      <c r="C106" s="66">
        <v>46227</v>
      </c>
      <c r="D106" s="67" t="s">
        <v>156</v>
      </c>
      <c r="E106" s="68" t="s">
        <v>77</v>
      </c>
      <c r="F106" s="100" t="s">
        <v>450</v>
      </c>
      <c r="G106" s="96"/>
      <c r="H106" s="94" t="s">
        <v>34</v>
      </c>
      <c r="I106" s="98" t="s">
        <v>446</v>
      </c>
      <c r="J106" s="90" t="s">
        <v>50</v>
      </c>
      <c r="K106" s="96"/>
      <c r="L106" s="99"/>
      <c r="M106" s="96"/>
      <c r="N106" s="96"/>
      <c r="O106" s="96"/>
      <c r="P106" s="96"/>
      <c r="Q106" s="96"/>
      <c r="R106" s="96"/>
    </row>
    <row r="107" spans="1:18" ht="31.2">
      <c r="A107" s="54" t="s">
        <v>449</v>
      </c>
      <c r="B107" s="70" t="s">
        <v>291</v>
      </c>
      <c r="C107" s="66">
        <v>46228</v>
      </c>
      <c r="D107" s="99" t="s">
        <v>1</v>
      </c>
      <c r="E107" s="68" t="s">
        <v>77</v>
      </c>
      <c r="F107" s="100" t="s">
        <v>451</v>
      </c>
      <c r="G107" s="96"/>
      <c r="H107" s="94" t="s">
        <v>34</v>
      </c>
      <c r="I107" s="98" t="s">
        <v>446</v>
      </c>
      <c r="J107" s="90" t="s">
        <v>50</v>
      </c>
      <c r="K107" s="96"/>
      <c r="L107" s="99"/>
      <c r="M107" s="96"/>
      <c r="N107" s="96"/>
      <c r="O107" s="96"/>
      <c r="P107" s="96"/>
      <c r="Q107" s="96"/>
      <c r="R107" s="96"/>
    </row>
  </sheetData>
  <autoFilter ref="A3:AE107" xr:uid="{00000000-0009-0000-0000-000007000000}">
    <filterColumn colId="1">
      <filters>
        <filter val="挂起"/>
        <filter val="解决中"/>
        <filter val="新建"/>
      </filters>
    </filterColumn>
  </autoFilter>
  <mergeCells count="6">
    <mergeCell ref="A1:R1"/>
    <mergeCell ref="A2:D2"/>
    <mergeCell ref="E2:G2"/>
    <mergeCell ref="H2:K2"/>
    <mergeCell ref="L2:N2"/>
    <mergeCell ref="O2:R2"/>
  </mergeCells>
  <phoneticPr fontId="116" type="noConversion"/>
  <conditionalFormatting sqref="A99:C107">
    <cfRule type="expression" dxfId="63" priority="22">
      <formula>AND($E99&lt;&gt;"",$J99&lt;&gt;"",TODAY()-$J99&gt;5)</formula>
    </cfRule>
  </conditionalFormatting>
  <conditionalFormatting sqref="A95:R95 A87:A88">
    <cfRule type="expression" dxfId="62" priority="301">
      <formula>AND($E87&lt;&gt;"",$J87&lt;&gt;"",TODAY()-$J87&gt;5)</formula>
    </cfRule>
  </conditionalFormatting>
  <conditionalFormatting sqref="B1:B93">
    <cfRule type="containsText" dxfId="61" priority="11" operator="containsText" text="挂起">
      <formula>NOT(ISERROR(SEARCH("挂起",B1)))</formula>
    </cfRule>
    <cfRule type="containsText" dxfId="60" priority="12" operator="containsText" text="解决中">
      <formula>NOT(ISERROR(SEARCH("解决中",B1)))</formula>
    </cfRule>
    <cfRule type="containsText" dxfId="59" priority="13" operator="containsText" text="关闭">
      <formula>NOT(ISERROR(SEARCH("关闭",B1)))</formula>
    </cfRule>
  </conditionalFormatting>
  <conditionalFormatting sqref="B61:B80">
    <cfRule type="cellIs" dxfId="58" priority="262" stopIfTrue="1" operator="equal">
      <formula>"Close"</formula>
    </cfRule>
    <cfRule type="cellIs" dxfId="57" priority="261" stopIfTrue="1" operator="equal">
      <formula>"Open"</formula>
    </cfRule>
    <cfRule type="cellIs" dxfId="56" priority="260" stopIfTrue="1" operator="equal">
      <formula>"Notes"</formula>
    </cfRule>
    <cfRule type="cellIs" dxfId="55" priority="259" stopIfTrue="1" operator="equal">
      <formula>"Pending"</formula>
    </cfRule>
    <cfRule type="expression" dxfId="54" priority="258">
      <formula>AND($E61&lt;&gt;"",$J61&lt;&gt;"",TODAY()-$J61&gt;5)</formula>
    </cfRule>
  </conditionalFormatting>
  <conditionalFormatting sqref="B82">
    <cfRule type="cellIs" dxfId="53" priority="242" stopIfTrue="1" operator="equal">
      <formula>"Open"</formula>
    </cfRule>
    <cfRule type="cellIs" dxfId="52" priority="241" stopIfTrue="1" operator="equal">
      <formula>"Notes"</formula>
    </cfRule>
    <cfRule type="cellIs" dxfId="51" priority="240" stopIfTrue="1" operator="equal">
      <formula>"Pending"</formula>
    </cfRule>
    <cfRule type="cellIs" dxfId="50" priority="243" stopIfTrue="1" operator="equal">
      <formula>"Close"</formula>
    </cfRule>
  </conditionalFormatting>
  <conditionalFormatting sqref="B83:B92">
    <cfRule type="cellIs" dxfId="49" priority="65" stopIfTrue="1" operator="equal">
      <formula>"Open"</formula>
    </cfRule>
    <cfRule type="cellIs" dxfId="48" priority="63" stopIfTrue="1" operator="equal">
      <formula>"Pending"</formula>
    </cfRule>
    <cfRule type="cellIs" dxfId="47" priority="66" stopIfTrue="1" operator="equal">
      <formula>"Close"</formula>
    </cfRule>
    <cfRule type="cellIs" dxfId="46" priority="64" stopIfTrue="1" operator="equal">
      <formula>"Notes"</formula>
    </cfRule>
  </conditionalFormatting>
  <conditionalFormatting sqref="B83:B93">
    <cfRule type="expression" dxfId="45" priority="18">
      <formula>AND($E83&lt;&gt;"",$J83&lt;&gt;"",TODAY()-$J83&gt;5)</formula>
    </cfRule>
  </conditionalFormatting>
  <conditionalFormatting sqref="B93">
    <cfRule type="cellIs" dxfId="44" priority="17" stopIfTrue="1" operator="equal">
      <formula>"Close"</formula>
    </cfRule>
    <cfRule type="cellIs" dxfId="43" priority="16" stopIfTrue="1" operator="equal">
      <formula>"Open"</formula>
    </cfRule>
    <cfRule type="cellIs" dxfId="42" priority="15" stopIfTrue="1" operator="equal">
      <formula>"Notes"</formula>
    </cfRule>
    <cfRule type="cellIs" dxfId="41" priority="14" stopIfTrue="1" operator="equal">
      <formula>"Pending"</formula>
    </cfRule>
  </conditionalFormatting>
  <conditionalFormatting sqref="B95">
    <cfRule type="cellIs" dxfId="40" priority="120" stopIfTrue="1" operator="equal">
      <formula>"Pending"</formula>
    </cfRule>
    <cfRule type="cellIs" dxfId="39" priority="121" stopIfTrue="1" operator="equal">
      <formula>"Notes"</formula>
    </cfRule>
    <cfRule type="cellIs" dxfId="38" priority="122" stopIfTrue="1" operator="equal">
      <formula>"Open"</formula>
    </cfRule>
    <cfRule type="cellIs" dxfId="37" priority="123" stopIfTrue="1" operator="equal">
      <formula>"Close"</formula>
    </cfRule>
  </conditionalFormatting>
  <conditionalFormatting sqref="B95:B1048576">
    <cfRule type="containsText" dxfId="36" priority="5" operator="containsText" text="挂起">
      <formula>NOT(ISERROR(SEARCH("挂起",B95)))</formula>
    </cfRule>
    <cfRule type="containsText" dxfId="35" priority="6" operator="containsText" text="解决中">
      <formula>NOT(ISERROR(SEARCH("解决中",B95)))</formula>
    </cfRule>
    <cfRule type="containsText" dxfId="34" priority="7" operator="containsText" text="关闭">
      <formula>NOT(ISERROR(SEARCH("关闭",B95)))</formula>
    </cfRule>
  </conditionalFormatting>
  <conditionalFormatting sqref="B99:B107">
    <cfRule type="cellIs" dxfId="33" priority="25" stopIfTrue="1" operator="equal">
      <formula>"Open"</formula>
    </cfRule>
    <cfRule type="cellIs" dxfId="32" priority="24" stopIfTrue="1" operator="equal">
      <formula>"Notes"</formula>
    </cfRule>
    <cfRule type="cellIs" dxfId="31" priority="23" stopIfTrue="1" operator="equal">
      <formula>"Pending"</formula>
    </cfRule>
    <cfRule type="cellIs" dxfId="30" priority="26" stopIfTrue="1" operator="equal">
      <formula>"Close"</formula>
    </cfRule>
  </conditionalFormatting>
  <conditionalFormatting sqref="B82:D82">
    <cfRule type="expression" dxfId="29" priority="239">
      <formula>AND($E82&lt;&gt;"",$J82&lt;&gt;"",TODAY()-$J82&gt;5)</formula>
    </cfRule>
  </conditionalFormatting>
  <conditionalFormatting sqref="F87">
    <cfRule type="expression" dxfId="28" priority="553">
      <formula>AND(#REF!&lt;&gt;"",#REF!&lt;&gt;"",TODAY()-#REF!&gt;5)</formula>
    </cfRule>
  </conditionalFormatting>
  <conditionalFormatting sqref="F82:R82 G87:R87 F88:R88 F99:R101 D102:R102">
    <cfRule type="expression" dxfId="27" priority="468">
      <formula>AND($E82&lt;&gt;"",$J82&lt;&gt;"",TODAY()-$J82&gt;5)</formula>
    </cfRule>
  </conditionalFormatting>
  <conditionalFormatting sqref="H103:H107">
    <cfRule type="expression" dxfId="26" priority="2">
      <formula>AND($E103&lt;&gt;"",$J103&lt;&gt;"",TODAY()-$J103&gt;5)</formula>
    </cfRule>
  </conditionalFormatting>
  <conditionalFormatting sqref="J104:J107">
    <cfRule type="expression" dxfId="25" priority="1">
      <formula>AND($E104&lt;&gt;"",$J104&lt;&gt;"",TODAY()-$J104&gt;5)</formula>
    </cfRule>
  </conditionalFormatting>
  <dataValidations count="3">
    <dataValidation type="list" allowBlank="1" showInputMessage="1" showErrorMessage="1" sqref="B4:B107" xr:uid="{00000000-0002-0000-0700-000000000000}">
      <formula1>"新建,分析中,解决中,已解决,验证中,关闭,挂起"</formula1>
    </dataValidation>
    <dataValidation type="list" allowBlank="1" showInputMessage="1" showErrorMessage="1" sqref="B108:B1048576" xr:uid="{00000000-0002-0000-0700-000001000000}">
      <formula1>"Open,Analysis,In Working,Verify,Closed"</formula1>
    </dataValidation>
    <dataValidation type="list" allowBlank="1" showInputMessage="1" showErrorMessage="1" sqref="E4:E107" xr:uid="{00000000-0002-0000-0700-000002000000}">
      <formula1>"S-Special,A-Critical,B-Major,C-Minor"</formula1>
    </dataValidation>
  </dataValidations>
  <pageMargins left="0.75" right="0.75" top="1" bottom="1" header="0.5" footer="0.5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B1:M42"/>
  <sheetViews>
    <sheetView showGridLines="0" view="pageBreakPreview" topLeftCell="A4" zoomScale="115" zoomScaleNormal="100" workbookViewId="0">
      <selection activeCell="I58" sqref="I58"/>
    </sheetView>
  </sheetViews>
  <sheetFormatPr defaultColWidth="12.109375" defaultRowHeight="15"/>
  <cols>
    <col min="1" max="1" width="2.77734375" style="28" customWidth="1"/>
    <col min="2" max="2" width="3.77734375" style="28" customWidth="1"/>
    <col min="3" max="3" width="14.77734375" style="28" customWidth="1"/>
    <col min="4" max="4" width="12.21875" style="28" customWidth="1"/>
    <col min="5" max="5" width="12.33203125" style="28" customWidth="1"/>
    <col min="6" max="6" width="12.88671875" style="28" customWidth="1"/>
    <col min="7" max="8" width="8.6640625" style="28" customWidth="1"/>
    <col min="9" max="9" width="9.88671875" style="28" customWidth="1"/>
    <col min="10" max="10" width="20.21875" style="28" customWidth="1"/>
    <col min="11" max="16384" width="12.109375" style="28"/>
  </cols>
  <sheetData>
    <row r="1" spans="2:12" ht="19.05" customHeight="1">
      <c r="B1" s="312"/>
      <c r="C1" s="312"/>
      <c r="D1" s="312"/>
      <c r="E1" s="313" t="s">
        <v>477</v>
      </c>
      <c r="F1" s="314"/>
      <c r="G1" s="314"/>
      <c r="H1" s="314"/>
      <c r="I1" s="315"/>
      <c r="J1" s="29" t="s">
        <v>478</v>
      </c>
      <c r="K1" s="305"/>
      <c r="L1" s="305"/>
    </row>
    <row r="2" spans="2:12" ht="15" customHeight="1">
      <c r="B2" s="312"/>
      <c r="C2" s="312"/>
      <c r="D2" s="312"/>
      <c r="E2" s="316"/>
      <c r="F2" s="317"/>
      <c r="G2" s="317"/>
      <c r="H2" s="317"/>
      <c r="I2" s="318"/>
      <c r="J2" s="29" t="s">
        <v>479</v>
      </c>
      <c r="K2" s="305"/>
      <c r="L2" s="305"/>
    </row>
    <row r="3" spans="2:12" ht="15" customHeight="1">
      <c r="B3" s="312"/>
      <c r="C3" s="312"/>
      <c r="D3" s="312"/>
      <c r="E3" s="319" t="s">
        <v>480</v>
      </c>
      <c r="F3" s="320"/>
      <c r="G3" s="320"/>
      <c r="H3" s="320"/>
      <c r="I3" s="321"/>
      <c r="J3" s="29" t="s">
        <v>453</v>
      </c>
      <c r="K3" s="306"/>
      <c r="L3" s="305"/>
    </row>
    <row r="4" spans="2:12" ht="15" customHeight="1">
      <c r="B4" s="312"/>
      <c r="C4" s="312"/>
      <c r="D4" s="312"/>
      <c r="E4" s="322"/>
      <c r="F4" s="323"/>
      <c r="G4" s="323"/>
      <c r="H4" s="323"/>
      <c r="I4" s="324"/>
      <c r="J4" s="29" t="s">
        <v>481</v>
      </c>
      <c r="K4" s="305"/>
      <c r="L4" s="305"/>
    </row>
    <row r="5" spans="2:12" ht="15" customHeight="1">
      <c r="B5" s="312"/>
      <c r="C5" s="312"/>
      <c r="D5" s="312"/>
      <c r="E5" s="29" t="s">
        <v>14</v>
      </c>
      <c r="F5" s="307"/>
      <c r="G5" s="308"/>
      <c r="H5" s="308"/>
      <c r="I5" s="309"/>
      <c r="J5" s="29" t="s">
        <v>470</v>
      </c>
      <c r="K5" s="310"/>
      <c r="L5" s="305"/>
    </row>
    <row r="6" spans="2:12" ht="15" customHeight="1">
      <c r="B6" s="311" t="s">
        <v>482</v>
      </c>
      <c r="C6" s="311"/>
      <c r="D6" s="30" t="s">
        <v>483</v>
      </c>
      <c r="E6" s="29" t="s">
        <v>484</v>
      </c>
      <c r="F6" s="307"/>
      <c r="G6" s="308"/>
      <c r="H6" s="308"/>
      <c r="I6" s="309"/>
      <c r="J6" s="29" t="s">
        <v>464</v>
      </c>
      <c r="K6" s="310"/>
      <c r="L6" s="305"/>
    </row>
    <row r="7" spans="2:12" ht="15" customHeight="1">
      <c r="B7" s="311" t="s">
        <v>485</v>
      </c>
      <c r="C7" s="311"/>
      <c r="D7" s="30"/>
      <c r="E7" s="29" t="s">
        <v>454</v>
      </c>
      <c r="F7" s="307"/>
      <c r="G7" s="308"/>
      <c r="H7" s="308"/>
      <c r="I7" s="309"/>
      <c r="J7" s="29" t="s">
        <v>486</v>
      </c>
      <c r="K7" s="310"/>
      <c r="L7" s="305"/>
    </row>
    <row r="8" spans="2:12" ht="15" customHeight="1">
      <c r="B8" s="336" t="s">
        <v>487</v>
      </c>
      <c r="C8" s="336"/>
      <c r="D8" s="336"/>
      <c r="E8" s="336"/>
      <c r="F8" s="336"/>
      <c r="G8" s="336"/>
      <c r="H8" s="336"/>
      <c r="I8" s="336"/>
      <c r="J8" s="336"/>
      <c r="K8" s="336"/>
      <c r="L8" s="336"/>
    </row>
    <row r="9" spans="2:12" ht="15" customHeight="1">
      <c r="B9" s="336"/>
      <c r="C9" s="336"/>
      <c r="D9" s="336"/>
      <c r="E9" s="336"/>
      <c r="F9" s="336"/>
      <c r="G9" s="336"/>
      <c r="H9" s="336"/>
      <c r="I9" s="336"/>
      <c r="J9" s="336"/>
      <c r="K9" s="336"/>
      <c r="L9" s="336"/>
    </row>
    <row r="10" spans="2:12" ht="15" customHeight="1">
      <c r="B10" s="31" t="s">
        <v>488</v>
      </c>
      <c r="C10" s="31" t="s">
        <v>489</v>
      </c>
      <c r="D10" s="32" t="s">
        <v>490</v>
      </c>
      <c r="E10" s="325" t="s">
        <v>491</v>
      </c>
      <c r="F10" s="326"/>
      <c r="G10" s="327" t="s">
        <v>492</v>
      </c>
      <c r="H10" s="327"/>
      <c r="I10" s="327"/>
      <c r="J10" s="328" t="s">
        <v>493</v>
      </c>
      <c r="K10" s="328"/>
      <c r="L10" s="329"/>
    </row>
    <row r="11" spans="2:12" ht="15" customHeight="1">
      <c r="B11" s="31">
        <v>1</v>
      </c>
      <c r="C11" s="33" t="s">
        <v>5</v>
      </c>
      <c r="D11" s="33" t="s">
        <v>2</v>
      </c>
      <c r="E11" s="330">
        <v>13920237013</v>
      </c>
      <c r="F11" s="331"/>
      <c r="G11" s="332" t="s">
        <v>455</v>
      </c>
      <c r="H11" s="333"/>
      <c r="I11" s="334"/>
      <c r="J11" s="335" t="s">
        <v>456</v>
      </c>
      <c r="K11" s="333"/>
      <c r="L11" s="334"/>
    </row>
    <row r="12" spans="2:12" ht="15" customHeight="1">
      <c r="B12" s="31">
        <v>2</v>
      </c>
      <c r="C12" s="33" t="s">
        <v>4</v>
      </c>
      <c r="D12" s="33" t="s">
        <v>1</v>
      </c>
      <c r="E12" s="330">
        <v>15122122023</v>
      </c>
      <c r="F12" s="331"/>
      <c r="G12" s="332" t="s">
        <v>457</v>
      </c>
      <c r="H12" s="333"/>
      <c r="I12" s="334"/>
      <c r="J12" s="335"/>
      <c r="K12" s="333"/>
      <c r="L12" s="334"/>
    </row>
    <row r="13" spans="2:12" ht="15" customHeight="1">
      <c r="B13" s="31">
        <v>3</v>
      </c>
      <c r="C13" s="33" t="s">
        <v>463</v>
      </c>
      <c r="D13" s="33" t="s">
        <v>452</v>
      </c>
      <c r="E13" s="330">
        <v>13821138466</v>
      </c>
      <c r="F13" s="331"/>
      <c r="G13" s="332" t="s">
        <v>494</v>
      </c>
      <c r="H13" s="333"/>
      <c r="I13" s="334"/>
      <c r="J13" s="335"/>
      <c r="K13" s="333"/>
      <c r="L13" s="334"/>
    </row>
    <row r="14" spans="2:12" ht="15" customHeight="1">
      <c r="B14" s="31">
        <v>4</v>
      </c>
      <c r="C14" s="33" t="s">
        <v>3</v>
      </c>
      <c r="D14" s="33" t="s">
        <v>495</v>
      </c>
      <c r="E14" s="330">
        <v>18702283315</v>
      </c>
      <c r="F14" s="331"/>
      <c r="G14" s="332" t="s">
        <v>496</v>
      </c>
      <c r="H14" s="333"/>
      <c r="I14" s="334"/>
      <c r="J14" s="335"/>
      <c r="K14" s="333"/>
      <c r="L14" s="334"/>
    </row>
    <row r="15" spans="2:12" ht="15" customHeight="1">
      <c r="B15" s="31">
        <v>5</v>
      </c>
      <c r="C15" s="33" t="s">
        <v>464</v>
      </c>
      <c r="D15" s="33" t="s">
        <v>497</v>
      </c>
      <c r="E15" s="330">
        <v>15378721829</v>
      </c>
      <c r="F15" s="331"/>
      <c r="G15" s="332" t="s">
        <v>498</v>
      </c>
      <c r="H15" s="333"/>
      <c r="I15" s="334"/>
      <c r="J15" s="335"/>
      <c r="K15" s="333"/>
      <c r="L15" s="334"/>
    </row>
    <row r="16" spans="2:12" ht="15" customHeight="1">
      <c r="B16" s="31">
        <v>6</v>
      </c>
      <c r="C16" s="33" t="s">
        <v>499</v>
      </c>
      <c r="D16" s="33" t="s">
        <v>452</v>
      </c>
      <c r="E16" s="330">
        <v>13821138466</v>
      </c>
      <c r="F16" s="331"/>
      <c r="G16" s="332" t="s">
        <v>494</v>
      </c>
      <c r="H16" s="337"/>
      <c r="I16" s="338"/>
      <c r="J16" s="335"/>
      <c r="K16" s="333"/>
      <c r="L16" s="334"/>
    </row>
    <row r="17" spans="2:13" ht="15" customHeight="1">
      <c r="B17" s="31">
        <v>7</v>
      </c>
      <c r="C17" s="33" t="s">
        <v>466</v>
      </c>
      <c r="D17" s="33" t="s">
        <v>270</v>
      </c>
      <c r="E17" s="330">
        <v>18682117660</v>
      </c>
      <c r="F17" s="331"/>
      <c r="G17" s="332" t="s">
        <v>500</v>
      </c>
      <c r="H17" s="333"/>
      <c r="I17" s="334"/>
      <c r="J17" s="335"/>
      <c r="K17" s="333"/>
      <c r="L17" s="334"/>
    </row>
    <row r="18" spans="2:13" ht="15" customHeight="1">
      <c r="B18" s="31">
        <v>8</v>
      </c>
      <c r="C18" s="33" t="s">
        <v>467</v>
      </c>
      <c r="D18" s="33" t="s">
        <v>89</v>
      </c>
      <c r="E18" s="330">
        <v>13821192570</v>
      </c>
      <c r="F18" s="331"/>
      <c r="G18" s="332" t="s">
        <v>462</v>
      </c>
      <c r="H18" s="333"/>
      <c r="I18" s="334"/>
      <c r="J18" s="335"/>
      <c r="K18" s="333"/>
      <c r="L18" s="334"/>
    </row>
    <row r="19" spans="2:13" ht="15" customHeight="1">
      <c r="B19" s="31">
        <v>9</v>
      </c>
      <c r="C19" s="33" t="s">
        <v>468</v>
      </c>
      <c r="D19" s="33" t="s">
        <v>35</v>
      </c>
      <c r="E19" s="330">
        <v>15122362672</v>
      </c>
      <c r="F19" s="331"/>
      <c r="G19" s="332" t="s">
        <v>501</v>
      </c>
      <c r="H19" s="333"/>
      <c r="I19" s="334"/>
      <c r="J19" s="335"/>
      <c r="K19" s="333"/>
      <c r="L19" s="334"/>
    </row>
    <row r="20" spans="2:13" ht="15" customHeight="1">
      <c r="B20" s="31">
        <v>10</v>
      </c>
      <c r="C20" s="33" t="s">
        <v>469</v>
      </c>
      <c r="D20" s="33" t="s">
        <v>51</v>
      </c>
      <c r="E20" s="330">
        <v>13672172863</v>
      </c>
      <c r="F20" s="331"/>
      <c r="G20" s="332" t="s">
        <v>458</v>
      </c>
      <c r="H20" s="333"/>
      <c r="I20" s="334"/>
      <c r="J20" s="335"/>
      <c r="K20" s="333"/>
      <c r="L20" s="334"/>
    </row>
    <row r="21" spans="2:13" ht="15" customHeight="1">
      <c r="B21" s="31">
        <v>11</v>
      </c>
      <c r="C21" s="33" t="s">
        <v>502</v>
      </c>
      <c r="D21" s="33" t="s">
        <v>15</v>
      </c>
      <c r="E21" s="330">
        <v>15522093815</v>
      </c>
      <c r="F21" s="331"/>
      <c r="G21" s="332" t="s">
        <v>503</v>
      </c>
      <c r="H21" s="333"/>
      <c r="I21" s="334"/>
      <c r="J21" s="335"/>
      <c r="K21" s="333"/>
      <c r="L21" s="334"/>
    </row>
    <row r="22" spans="2:13" ht="15" customHeight="1">
      <c r="B22" s="31">
        <v>12</v>
      </c>
      <c r="C22" s="33" t="s">
        <v>460</v>
      </c>
      <c r="D22" s="33" t="s">
        <v>504</v>
      </c>
      <c r="E22" s="330">
        <v>15822008072</v>
      </c>
      <c r="F22" s="331"/>
      <c r="G22" s="332" t="s">
        <v>505</v>
      </c>
      <c r="H22" s="333"/>
      <c r="I22" s="334"/>
      <c r="J22" s="335"/>
      <c r="K22" s="333"/>
      <c r="L22" s="334"/>
    </row>
    <row r="23" spans="2:13" ht="15" customHeight="1">
      <c r="B23" s="31">
        <v>13</v>
      </c>
      <c r="C23" s="33" t="s">
        <v>470</v>
      </c>
      <c r="D23" s="33" t="s">
        <v>506</v>
      </c>
      <c r="E23" s="330">
        <v>15153350838</v>
      </c>
      <c r="F23" s="331"/>
      <c r="G23" s="332" t="s">
        <v>507</v>
      </c>
      <c r="H23" s="333"/>
      <c r="I23" s="334"/>
      <c r="J23" s="335"/>
      <c r="K23" s="333"/>
      <c r="L23" s="334"/>
    </row>
    <row r="24" spans="2:13" ht="15" customHeight="1">
      <c r="B24" s="31"/>
      <c r="C24" s="33"/>
      <c r="D24" s="33"/>
      <c r="E24" s="34"/>
      <c r="F24" s="35"/>
      <c r="G24" s="332"/>
      <c r="H24" s="333"/>
      <c r="I24" s="334"/>
      <c r="J24" s="335"/>
      <c r="K24" s="333"/>
      <c r="L24" s="334"/>
    </row>
    <row r="25" spans="2:13" ht="15" customHeight="1">
      <c r="B25" s="31"/>
      <c r="C25" s="33"/>
      <c r="D25" s="33"/>
      <c r="E25" s="34"/>
      <c r="F25" s="35"/>
      <c r="G25" s="332"/>
      <c r="H25" s="333"/>
      <c r="I25" s="334"/>
      <c r="J25" s="335"/>
      <c r="K25" s="333"/>
      <c r="L25" s="334"/>
    </row>
    <row r="26" spans="2:13" ht="15" customHeight="1">
      <c r="B26" s="31"/>
      <c r="C26" s="33"/>
      <c r="D26" s="33"/>
      <c r="E26" s="330"/>
      <c r="F26" s="331"/>
      <c r="G26" s="332"/>
      <c r="H26" s="333"/>
      <c r="I26" s="334"/>
      <c r="J26" s="335"/>
      <c r="K26" s="333"/>
      <c r="L26" s="334"/>
    </row>
    <row r="27" spans="2:13" ht="22.05" customHeight="1">
      <c r="B27" s="339" t="s">
        <v>508</v>
      </c>
      <c r="C27" s="336"/>
      <c r="D27" s="336"/>
      <c r="E27" s="336"/>
      <c r="F27" s="336"/>
      <c r="G27" s="336"/>
      <c r="H27" s="336"/>
      <c r="I27" s="336"/>
      <c r="J27" s="336"/>
      <c r="K27" s="336"/>
      <c r="L27" s="336"/>
    </row>
    <row r="28" spans="2:13" ht="15" customHeight="1">
      <c r="B28" s="31" t="s">
        <v>488</v>
      </c>
      <c r="C28" s="31" t="s">
        <v>489</v>
      </c>
      <c r="D28" s="32" t="s">
        <v>490</v>
      </c>
      <c r="E28" s="325" t="s">
        <v>491</v>
      </c>
      <c r="F28" s="326"/>
      <c r="G28" s="327" t="s">
        <v>492</v>
      </c>
      <c r="H28" s="327"/>
      <c r="I28" s="327"/>
      <c r="J28" s="327" t="s">
        <v>493</v>
      </c>
      <c r="K28" s="327"/>
      <c r="L28" s="327"/>
      <c r="M28" s="36"/>
    </row>
    <row r="29" spans="2:13" ht="15" customHeight="1">
      <c r="B29" s="31">
        <v>1</v>
      </c>
      <c r="C29" s="33" t="s">
        <v>4</v>
      </c>
      <c r="D29" s="37"/>
      <c r="E29" s="340"/>
      <c r="F29" s="341"/>
      <c r="G29" s="335"/>
      <c r="H29" s="333"/>
      <c r="I29" s="334"/>
      <c r="J29" s="335"/>
      <c r="K29" s="333"/>
      <c r="L29" s="334"/>
      <c r="M29" s="38"/>
    </row>
    <row r="30" spans="2:13" ht="15" customHeight="1">
      <c r="B30" s="31">
        <v>2</v>
      </c>
      <c r="C30" s="37"/>
      <c r="D30" s="37"/>
      <c r="E30" s="340"/>
      <c r="F30" s="341"/>
      <c r="G30" s="335"/>
      <c r="H30" s="333"/>
      <c r="I30" s="334"/>
      <c r="J30" s="335"/>
      <c r="K30" s="333"/>
      <c r="L30" s="334"/>
      <c r="M30" s="38"/>
    </row>
    <row r="31" spans="2:13" ht="15" customHeight="1">
      <c r="B31" s="31">
        <v>3</v>
      </c>
      <c r="C31" s="37"/>
      <c r="D31" s="37"/>
      <c r="E31" s="340"/>
      <c r="F31" s="341"/>
      <c r="G31" s="335"/>
      <c r="H31" s="333"/>
      <c r="I31" s="334"/>
      <c r="J31" s="335"/>
      <c r="K31" s="333"/>
      <c r="L31" s="334"/>
      <c r="M31" s="38"/>
    </row>
    <row r="32" spans="2:13" ht="15" customHeight="1">
      <c r="B32" s="31">
        <v>4</v>
      </c>
      <c r="C32" s="37"/>
      <c r="D32" s="37"/>
      <c r="E32" s="340"/>
      <c r="F32" s="341"/>
      <c r="G32" s="335"/>
      <c r="H32" s="333"/>
      <c r="I32" s="334"/>
      <c r="J32" s="335"/>
      <c r="K32" s="333"/>
      <c r="L32" s="334"/>
      <c r="M32" s="38"/>
    </row>
    <row r="33" spans="2:13" ht="15" customHeight="1">
      <c r="B33" s="31">
        <v>5</v>
      </c>
      <c r="C33" s="37"/>
      <c r="D33" s="37"/>
      <c r="E33" s="340"/>
      <c r="F33" s="341"/>
      <c r="G33" s="335"/>
      <c r="H33" s="333"/>
      <c r="I33" s="334"/>
      <c r="J33" s="335"/>
      <c r="K33" s="333"/>
      <c r="L33" s="334"/>
      <c r="M33" s="38"/>
    </row>
    <row r="34" spans="2:13" ht="15" customHeight="1">
      <c r="B34" s="31">
        <v>6</v>
      </c>
      <c r="C34" s="37"/>
      <c r="D34" s="37"/>
      <c r="E34" s="340"/>
      <c r="F34" s="341"/>
      <c r="G34" s="335"/>
      <c r="H34" s="333"/>
      <c r="I34" s="334"/>
      <c r="J34" s="335"/>
      <c r="K34" s="333"/>
      <c r="L34" s="334"/>
      <c r="M34" s="38"/>
    </row>
    <row r="35" spans="2:13" ht="15" customHeight="1">
      <c r="B35" s="31">
        <v>7</v>
      </c>
      <c r="C35" s="37"/>
      <c r="D35" s="37"/>
      <c r="E35" s="340"/>
      <c r="F35" s="341"/>
      <c r="G35" s="335"/>
      <c r="H35" s="333"/>
      <c r="I35" s="334"/>
      <c r="J35" s="335"/>
      <c r="K35" s="333"/>
      <c r="L35" s="334"/>
      <c r="M35" s="38"/>
    </row>
    <row r="36" spans="2:13" ht="15" customHeight="1">
      <c r="B36" s="31">
        <v>8</v>
      </c>
      <c r="C36" s="37"/>
      <c r="D36" s="37"/>
      <c r="E36" s="340"/>
      <c r="F36" s="341"/>
      <c r="G36" s="335"/>
      <c r="H36" s="333"/>
      <c r="I36" s="334"/>
      <c r="J36" s="335"/>
      <c r="K36" s="333"/>
      <c r="L36" s="334"/>
    </row>
    <row r="37" spans="2:13" ht="15" customHeight="1">
      <c r="B37" s="31">
        <v>9</v>
      </c>
      <c r="C37" s="37"/>
      <c r="D37" s="37"/>
      <c r="E37" s="340"/>
      <c r="F37" s="341"/>
      <c r="G37" s="335"/>
      <c r="H37" s="333"/>
      <c r="I37" s="334"/>
      <c r="J37" s="335"/>
      <c r="K37" s="333"/>
      <c r="L37" s="334"/>
    </row>
    <row r="38" spans="2:13" ht="15" customHeight="1">
      <c r="B38" s="31">
        <v>10</v>
      </c>
      <c r="C38" s="37"/>
      <c r="D38" s="37"/>
      <c r="E38" s="340"/>
      <c r="F38" s="341"/>
      <c r="G38" s="335"/>
      <c r="H38" s="333"/>
      <c r="I38" s="334"/>
      <c r="J38" s="335"/>
      <c r="K38" s="333"/>
      <c r="L38" s="334"/>
    </row>
    <row r="39" spans="2:13" ht="15" customHeight="1">
      <c r="B39" s="31">
        <v>11</v>
      </c>
      <c r="C39" s="37"/>
      <c r="D39" s="37"/>
      <c r="E39" s="340"/>
      <c r="F39" s="341"/>
      <c r="G39" s="335"/>
      <c r="H39" s="333"/>
      <c r="I39" s="334"/>
      <c r="J39" s="335"/>
      <c r="K39" s="333"/>
      <c r="L39" s="334"/>
    </row>
    <row r="40" spans="2:13" ht="15" customHeight="1">
      <c r="B40" s="31">
        <v>12</v>
      </c>
      <c r="C40" s="37"/>
      <c r="D40" s="37"/>
      <c r="E40" s="340"/>
      <c r="F40" s="341"/>
      <c r="G40" s="335"/>
      <c r="H40" s="333"/>
      <c r="I40" s="334"/>
      <c r="J40" s="335"/>
      <c r="K40" s="333"/>
      <c r="L40" s="334"/>
    </row>
    <row r="41" spans="2:13" ht="15" customHeight="1"/>
    <row r="42" spans="2:13" ht="15" customHeight="1"/>
  </sheetData>
  <mergeCells count="105">
    <mergeCell ref="E38:F38"/>
    <mergeCell ref="G38:I38"/>
    <mergeCell ref="J38:L38"/>
    <mergeCell ref="E39:F39"/>
    <mergeCell ref="G39:I39"/>
    <mergeCell ref="J39:L39"/>
    <mergeCell ref="E40:F40"/>
    <mergeCell ref="G40:I40"/>
    <mergeCell ref="J40:L40"/>
    <mergeCell ref="E35:F35"/>
    <mergeCell ref="G35:I35"/>
    <mergeCell ref="J35:L35"/>
    <mergeCell ref="E36:F36"/>
    <mergeCell ref="G36:I36"/>
    <mergeCell ref="J36:L36"/>
    <mergeCell ref="E37:F37"/>
    <mergeCell ref="G37:I37"/>
    <mergeCell ref="J37:L37"/>
    <mergeCell ref="E32:F32"/>
    <mergeCell ref="G32:I32"/>
    <mergeCell ref="J32:L32"/>
    <mergeCell ref="E33:F33"/>
    <mergeCell ref="G33:I33"/>
    <mergeCell ref="J33:L33"/>
    <mergeCell ref="E34:F34"/>
    <mergeCell ref="G34:I34"/>
    <mergeCell ref="J34:L34"/>
    <mergeCell ref="E29:F29"/>
    <mergeCell ref="G29:I29"/>
    <mergeCell ref="J29:L29"/>
    <mergeCell ref="E30:F30"/>
    <mergeCell ref="G30:I30"/>
    <mergeCell ref="J30:L30"/>
    <mergeCell ref="E31:F31"/>
    <mergeCell ref="G31:I31"/>
    <mergeCell ref="J31:L31"/>
    <mergeCell ref="G24:I24"/>
    <mergeCell ref="J24:L24"/>
    <mergeCell ref="G25:I25"/>
    <mergeCell ref="J25:L25"/>
    <mergeCell ref="E26:F26"/>
    <mergeCell ref="G26:I26"/>
    <mergeCell ref="J26:L26"/>
    <mergeCell ref="B27:L27"/>
    <mergeCell ref="E28:F28"/>
    <mergeCell ref="G28:I28"/>
    <mergeCell ref="J28:L28"/>
    <mergeCell ref="E21:F21"/>
    <mergeCell ref="G21:I21"/>
    <mergeCell ref="J21:L21"/>
    <mergeCell ref="E22:F22"/>
    <mergeCell ref="G22:I22"/>
    <mergeCell ref="J22:L22"/>
    <mergeCell ref="E23:F23"/>
    <mergeCell ref="G23:I23"/>
    <mergeCell ref="J23:L23"/>
    <mergeCell ref="E18:F18"/>
    <mergeCell ref="G18:I18"/>
    <mergeCell ref="J18:L18"/>
    <mergeCell ref="E19:F19"/>
    <mergeCell ref="G19:I19"/>
    <mergeCell ref="J19:L19"/>
    <mergeCell ref="E20:F20"/>
    <mergeCell ref="G20:I20"/>
    <mergeCell ref="J20:L20"/>
    <mergeCell ref="E15:F15"/>
    <mergeCell ref="G15:I15"/>
    <mergeCell ref="J15:L15"/>
    <mergeCell ref="E16:F16"/>
    <mergeCell ref="G16:I16"/>
    <mergeCell ref="J16:L16"/>
    <mergeCell ref="E17:F17"/>
    <mergeCell ref="G17:I17"/>
    <mergeCell ref="J17:L17"/>
    <mergeCell ref="E12:F12"/>
    <mergeCell ref="G12:I12"/>
    <mergeCell ref="J12:L12"/>
    <mergeCell ref="E13:F13"/>
    <mergeCell ref="G13:I13"/>
    <mergeCell ref="J13:L13"/>
    <mergeCell ref="E14:F14"/>
    <mergeCell ref="G14:I14"/>
    <mergeCell ref="J14:L14"/>
    <mergeCell ref="B7:C7"/>
    <mergeCell ref="F7:I7"/>
    <mergeCell ref="K7:L7"/>
    <mergeCell ref="E10:F10"/>
    <mergeCell ref="G10:I10"/>
    <mergeCell ref="J10:L10"/>
    <mergeCell ref="E11:F11"/>
    <mergeCell ref="G11:I11"/>
    <mergeCell ref="J11:L11"/>
    <mergeCell ref="B8:L9"/>
    <mergeCell ref="K1:L1"/>
    <mergeCell ref="K2:L2"/>
    <mergeCell ref="K3:L3"/>
    <mergeCell ref="K4:L4"/>
    <mergeCell ref="F5:I5"/>
    <mergeCell ref="K5:L5"/>
    <mergeCell ref="B6:C6"/>
    <mergeCell ref="F6:I6"/>
    <mergeCell ref="K6:L6"/>
    <mergeCell ref="B1:D5"/>
    <mergeCell ref="E1:I2"/>
    <mergeCell ref="E3:I4"/>
  </mergeCells>
  <phoneticPr fontId="116" type="noConversion"/>
  <hyperlinks>
    <hyperlink ref="G11" r:id="rId1" xr:uid="{00000000-0004-0000-1200-000000000000}"/>
    <hyperlink ref="G12" r:id="rId2" xr:uid="{00000000-0004-0000-1200-000001000000}"/>
    <hyperlink ref="G13" r:id="rId3" xr:uid="{00000000-0004-0000-1200-000002000000}"/>
    <hyperlink ref="G14" r:id="rId4" xr:uid="{00000000-0004-0000-1200-000003000000}"/>
    <hyperlink ref="G15" r:id="rId5" xr:uid="{00000000-0004-0000-1200-000004000000}"/>
    <hyperlink ref="G16" r:id="rId6" xr:uid="{00000000-0004-0000-1200-000005000000}"/>
    <hyperlink ref="G18" r:id="rId7" xr:uid="{00000000-0004-0000-1200-000006000000}"/>
    <hyperlink ref="G19" r:id="rId8" xr:uid="{00000000-0004-0000-1200-000007000000}"/>
    <hyperlink ref="G20" r:id="rId9" xr:uid="{00000000-0004-0000-1200-000008000000}"/>
    <hyperlink ref="G21" r:id="rId10" xr:uid="{00000000-0004-0000-1200-000009000000}"/>
    <hyperlink ref="G22" r:id="rId11" xr:uid="{00000000-0004-0000-1200-00000A000000}"/>
    <hyperlink ref="G23" r:id="rId12" xr:uid="{00000000-0004-0000-1200-00000B000000}"/>
    <hyperlink ref="G17" r:id="rId13" xr:uid="{00000000-0004-0000-1200-00000C000000}"/>
  </hyperlinks>
  <pageMargins left="0.51180555555555596" right="0.47152777777777799" top="0.39305555555555599" bottom="0.27500000000000002" header="0.35416666666666702" footer="0.27500000000000002"/>
  <pageSetup paperSize="9" fitToHeight="0" orientation="landscape" r:id="rId14"/>
  <colBreaks count="1" manualBreakCount="1">
    <brk id="12" max="50" man="1"/>
  </colBreaks>
  <drawing r:id="rId15"/>
  <legacyDrawing r:id="rId1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P196"/>
  <sheetViews>
    <sheetView zoomScale="85" zoomScaleNormal="85" workbookViewId="0">
      <pane xSplit="2" ySplit="4" topLeftCell="C47" activePane="bottomRight" state="frozenSplit"/>
      <selection pane="topRight"/>
      <selection pane="bottomLeft"/>
      <selection pane="bottomRight" activeCell="I58" sqref="I58"/>
    </sheetView>
  </sheetViews>
  <sheetFormatPr defaultColWidth="10" defaultRowHeight="13.8"/>
  <cols>
    <col min="1" max="1" width="16" style="1" customWidth="1"/>
    <col min="2" max="2" width="18.5546875" style="1" customWidth="1"/>
    <col min="3" max="68" width="6.77734375" style="1" customWidth="1"/>
    <col min="69" max="16384" width="10" style="1"/>
  </cols>
  <sheetData>
    <row r="1" spans="1:68" ht="97.95" customHeight="1">
      <c r="A1" s="342" t="s">
        <v>509</v>
      </c>
      <c r="B1" s="343"/>
      <c r="C1" s="34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4"/>
      <c r="BO1" s="4"/>
      <c r="BP1" s="4"/>
    </row>
    <row r="2" spans="1:68">
      <c r="A2" s="348" t="s">
        <v>510</v>
      </c>
      <c r="B2" s="345"/>
      <c r="C2" s="344" t="s">
        <v>4</v>
      </c>
      <c r="D2" s="345"/>
      <c r="E2" s="345"/>
      <c r="F2" s="344" t="s">
        <v>3</v>
      </c>
      <c r="G2" s="345"/>
      <c r="H2" s="345"/>
      <c r="I2" s="344" t="s">
        <v>465</v>
      </c>
      <c r="J2" s="345"/>
      <c r="K2" s="345"/>
      <c r="L2" s="344" t="s">
        <v>459</v>
      </c>
      <c r="M2" s="345"/>
      <c r="N2" s="345"/>
      <c r="O2" s="344" t="s">
        <v>469</v>
      </c>
      <c r="P2" s="345"/>
      <c r="Q2" s="345"/>
      <c r="R2" s="344" t="s">
        <v>511</v>
      </c>
      <c r="S2" s="345"/>
      <c r="T2" s="345"/>
      <c r="U2" s="344" t="s">
        <v>512</v>
      </c>
      <c r="V2" s="345"/>
      <c r="W2" s="345"/>
      <c r="X2" s="344" t="s">
        <v>513</v>
      </c>
      <c r="Y2" s="345"/>
      <c r="Z2" s="345"/>
      <c r="AA2" s="344" t="s">
        <v>514</v>
      </c>
      <c r="AB2" s="345"/>
      <c r="AC2" s="345"/>
      <c r="AD2" s="344" t="s">
        <v>515</v>
      </c>
      <c r="AE2" s="345"/>
      <c r="AF2" s="345"/>
      <c r="AG2" s="344" t="s">
        <v>499</v>
      </c>
      <c r="AH2" s="345"/>
      <c r="AI2" s="345"/>
      <c r="AJ2" s="344" t="s">
        <v>461</v>
      </c>
      <c r="AK2" s="345"/>
      <c r="AL2" s="345"/>
      <c r="AM2" s="344" t="s">
        <v>516</v>
      </c>
      <c r="AN2" s="345"/>
      <c r="AO2" s="345"/>
      <c r="AP2" s="344" t="s">
        <v>517</v>
      </c>
      <c r="AQ2" s="345"/>
      <c r="AR2" s="345"/>
      <c r="AS2" s="344" t="s">
        <v>518</v>
      </c>
      <c r="AT2" s="345"/>
      <c r="AU2" s="345"/>
      <c r="AV2" s="344" t="s">
        <v>519</v>
      </c>
      <c r="AW2" s="345"/>
      <c r="AX2" s="345"/>
      <c r="AY2" s="344" t="s">
        <v>520</v>
      </c>
      <c r="AZ2" s="345"/>
      <c r="BA2" s="345"/>
      <c r="BB2" s="344" t="s">
        <v>521</v>
      </c>
      <c r="BC2" s="345"/>
      <c r="BD2" s="345"/>
      <c r="BE2" s="344" t="s">
        <v>522</v>
      </c>
      <c r="BF2" s="345"/>
      <c r="BG2" s="345"/>
      <c r="BH2" s="344" t="s">
        <v>523</v>
      </c>
      <c r="BI2" s="345"/>
      <c r="BJ2" s="345"/>
      <c r="BK2" s="344" t="s">
        <v>524</v>
      </c>
      <c r="BL2" s="345"/>
      <c r="BM2" s="345"/>
      <c r="BN2" s="344" t="s">
        <v>525</v>
      </c>
      <c r="BO2" s="345"/>
      <c r="BP2" s="345"/>
    </row>
    <row r="3" spans="1:68">
      <c r="A3" s="348"/>
      <c r="B3" s="345"/>
      <c r="C3" s="344" t="s">
        <v>1</v>
      </c>
      <c r="D3" s="345"/>
      <c r="E3" s="345"/>
      <c r="F3" s="344" t="s">
        <v>526</v>
      </c>
      <c r="G3" s="345"/>
      <c r="H3" s="345"/>
      <c r="I3" s="344" t="s">
        <v>452</v>
      </c>
      <c r="J3" s="345"/>
      <c r="K3" s="345"/>
      <c r="L3" s="344" t="s">
        <v>32</v>
      </c>
      <c r="M3" s="345"/>
      <c r="N3" s="345"/>
      <c r="O3" s="344" t="s">
        <v>30</v>
      </c>
      <c r="P3" s="345"/>
      <c r="Q3" s="345"/>
      <c r="R3" s="344" t="s">
        <v>29</v>
      </c>
      <c r="S3" s="345"/>
      <c r="T3" s="345"/>
      <c r="U3" s="344" t="s">
        <v>527</v>
      </c>
      <c r="V3" s="345"/>
      <c r="W3" s="345"/>
      <c r="X3" s="344" t="s">
        <v>29</v>
      </c>
      <c r="Y3" s="345"/>
      <c r="Z3" s="345"/>
      <c r="AA3" s="344" t="s">
        <v>528</v>
      </c>
      <c r="AB3" s="345"/>
      <c r="AC3" s="345"/>
      <c r="AD3" s="344" t="s">
        <v>37</v>
      </c>
      <c r="AE3" s="345"/>
      <c r="AF3" s="345"/>
      <c r="AG3" s="344" t="s">
        <v>528</v>
      </c>
      <c r="AH3" s="345"/>
      <c r="AI3" s="345"/>
      <c r="AJ3" s="344" t="s">
        <v>37</v>
      </c>
      <c r="AK3" s="345"/>
      <c r="AL3" s="345"/>
      <c r="AM3" s="344" t="s">
        <v>38</v>
      </c>
      <c r="AN3" s="345"/>
      <c r="AO3" s="345"/>
      <c r="AP3" s="344" t="s">
        <v>529</v>
      </c>
      <c r="AQ3" s="345"/>
      <c r="AR3" s="345"/>
      <c r="AS3" s="344" t="s">
        <v>530</v>
      </c>
      <c r="AT3" s="345"/>
      <c r="AU3" s="345"/>
      <c r="AV3" s="344" t="s">
        <v>48</v>
      </c>
      <c r="AW3" s="345"/>
      <c r="AX3" s="345"/>
      <c r="AY3" s="344" t="s">
        <v>529</v>
      </c>
      <c r="AZ3" s="345"/>
      <c r="BA3" s="345"/>
      <c r="BB3" s="344" t="s">
        <v>531</v>
      </c>
      <c r="BC3" s="345"/>
      <c r="BD3" s="345"/>
      <c r="BE3" s="344" t="s">
        <v>532</v>
      </c>
      <c r="BF3" s="345"/>
      <c r="BG3" s="345"/>
      <c r="BH3" s="344" t="s">
        <v>533</v>
      </c>
      <c r="BI3" s="345"/>
      <c r="BJ3" s="345"/>
      <c r="BK3" s="344" t="s">
        <v>534</v>
      </c>
      <c r="BL3" s="345"/>
      <c r="BM3" s="345"/>
      <c r="BN3" s="344" t="s">
        <v>15</v>
      </c>
      <c r="BO3" s="345"/>
      <c r="BP3" s="345"/>
    </row>
    <row r="4" spans="1:68" ht="42">
      <c r="A4" s="345"/>
      <c r="B4" s="345"/>
      <c r="C4" s="5" t="s">
        <v>535</v>
      </c>
      <c r="D4" s="5" t="s">
        <v>536</v>
      </c>
      <c r="E4" s="5" t="s">
        <v>537</v>
      </c>
      <c r="F4" s="5" t="s">
        <v>535</v>
      </c>
      <c r="G4" s="5" t="s">
        <v>536</v>
      </c>
      <c r="H4" s="5" t="s">
        <v>537</v>
      </c>
      <c r="I4" s="5" t="s">
        <v>535</v>
      </c>
      <c r="J4" s="5" t="s">
        <v>536</v>
      </c>
      <c r="K4" s="5" t="s">
        <v>537</v>
      </c>
      <c r="L4" s="5" t="s">
        <v>535</v>
      </c>
      <c r="M4" s="5" t="s">
        <v>536</v>
      </c>
      <c r="N4" s="5" t="s">
        <v>537</v>
      </c>
      <c r="O4" s="5" t="s">
        <v>535</v>
      </c>
      <c r="P4" s="5" t="s">
        <v>536</v>
      </c>
      <c r="Q4" s="5" t="s">
        <v>537</v>
      </c>
      <c r="R4" s="5" t="s">
        <v>535</v>
      </c>
      <c r="S4" s="5" t="s">
        <v>536</v>
      </c>
      <c r="T4" s="5" t="s">
        <v>537</v>
      </c>
      <c r="U4" s="5" t="s">
        <v>535</v>
      </c>
      <c r="V4" s="5" t="s">
        <v>536</v>
      </c>
      <c r="W4" s="5" t="s">
        <v>537</v>
      </c>
      <c r="X4" s="5" t="s">
        <v>535</v>
      </c>
      <c r="Y4" s="5" t="s">
        <v>536</v>
      </c>
      <c r="Z4" s="5" t="s">
        <v>537</v>
      </c>
      <c r="AA4" s="5" t="s">
        <v>535</v>
      </c>
      <c r="AB4" s="5" t="s">
        <v>536</v>
      </c>
      <c r="AC4" s="5" t="s">
        <v>537</v>
      </c>
      <c r="AD4" s="5" t="s">
        <v>535</v>
      </c>
      <c r="AE4" s="5" t="s">
        <v>536</v>
      </c>
      <c r="AF4" s="5" t="s">
        <v>537</v>
      </c>
      <c r="AG4" s="5" t="s">
        <v>535</v>
      </c>
      <c r="AH4" s="5" t="s">
        <v>536</v>
      </c>
      <c r="AI4" s="5" t="s">
        <v>537</v>
      </c>
      <c r="AJ4" s="5" t="s">
        <v>535</v>
      </c>
      <c r="AK4" s="5" t="s">
        <v>536</v>
      </c>
      <c r="AL4" s="5" t="s">
        <v>537</v>
      </c>
      <c r="AM4" s="5" t="s">
        <v>535</v>
      </c>
      <c r="AN4" s="5" t="s">
        <v>536</v>
      </c>
      <c r="AO4" s="5" t="s">
        <v>537</v>
      </c>
      <c r="AP4" s="5" t="s">
        <v>535</v>
      </c>
      <c r="AQ4" s="5" t="s">
        <v>536</v>
      </c>
      <c r="AR4" s="5" t="s">
        <v>537</v>
      </c>
      <c r="AS4" s="5" t="s">
        <v>535</v>
      </c>
      <c r="AT4" s="5" t="s">
        <v>536</v>
      </c>
      <c r="AU4" s="5" t="s">
        <v>537</v>
      </c>
      <c r="AV4" s="5" t="s">
        <v>535</v>
      </c>
      <c r="AW4" s="5" t="s">
        <v>536</v>
      </c>
      <c r="AX4" s="5" t="s">
        <v>537</v>
      </c>
      <c r="AY4" s="5" t="s">
        <v>535</v>
      </c>
      <c r="AZ4" s="5" t="s">
        <v>536</v>
      </c>
      <c r="BA4" s="5" t="s">
        <v>537</v>
      </c>
      <c r="BB4" s="5" t="s">
        <v>535</v>
      </c>
      <c r="BC4" s="5" t="s">
        <v>536</v>
      </c>
      <c r="BD4" s="5" t="s">
        <v>537</v>
      </c>
      <c r="BE4" s="5" t="s">
        <v>535</v>
      </c>
      <c r="BF4" s="5" t="s">
        <v>536</v>
      </c>
      <c r="BG4" s="5" t="s">
        <v>537</v>
      </c>
      <c r="BH4" s="5" t="s">
        <v>535</v>
      </c>
      <c r="BI4" s="5" t="s">
        <v>536</v>
      </c>
      <c r="BJ4" s="5" t="s">
        <v>537</v>
      </c>
      <c r="BK4" s="5" t="s">
        <v>535</v>
      </c>
      <c r="BL4" s="5" t="s">
        <v>536</v>
      </c>
      <c r="BM4" s="5" t="s">
        <v>537</v>
      </c>
      <c r="BN4" s="5" t="s">
        <v>535</v>
      </c>
      <c r="BO4" s="5" t="s">
        <v>536</v>
      </c>
      <c r="BP4" s="5" t="s">
        <v>537</v>
      </c>
    </row>
    <row r="5" spans="1:68" ht="14.4">
      <c r="A5" s="346" t="s">
        <v>538</v>
      </c>
      <c r="B5" s="6" t="s">
        <v>539</v>
      </c>
      <c r="C5" s="7">
        <v>3</v>
      </c>
      <c r="D5" s="8">
        <v>3</v>
      </c>
      <c r="E5" s="9">
        <v>0</v>
      </c>
      <c r="F5" s="7">
        <v>3</v>
      </c>
      <c r="G5" s="8">
        <v>3</v>
      </c>
      <c r="H5" s="9">
        <v>0</v>
      </c>
      <c r="I5" s="9">
        <v>3</v>
      </c>
      <c r="J5" s="9">
        <v>3</v>
      </c>
      <c r="K5" s="9">
        <v>0</v>
      </c>
      <c r="L5" s="9">
        <v>3</v>
      </c>
      <c r="M5" s="9">
        <v>3</v>
      </c>
      <c r="N5" s="9">
        <v>0</v>
      </c>
      <c r="O5" s="9">
        <v>3</v>
      </c>
      <c r="P5" s="9">
        <v>3</v>
      </c>
      <c r="Q5" s="9">
        <v>0</v>
      </c>
      <c r="R5" s="9">
        <v>3</v>
      </c>
      <c r="S5" s="9">
        <v>3</v>
      </c>
      <c r="T5" s="9">
        <v>0</v>
      </c>
      <c r="U5" s="9">
        <v>3</v>
      </c>
      <c r="V5" s="9">
        <v>3</v>
      </c>
      <c r="W5" s="9">
        <v>0</v>
      </c>
      <c r="X5" s="9">
        <v>3</v>
      </c>
      <c r="Y5" s="9">
        <v>3</v>
      </c>
      <c r="Z5" s="9">
        <v>0</v>
      </c>
      <c r="AA5" s="9">
        <v>3</v>
      </c>
      <c r="AB5" s="9">
        <v>3</v>
      </c>
      <c r="AC5" s="9">
        <v>0</v>
      </c>
      <c r="AD5" s="9">
        <v>3</v>
      </c>
      <c r="AE5" s="9">
        <v>3</v>
      </c>
      <c r="AF5" s="9">
        <v>0</v>
      </c>
      <c r="AG5" s="9">
        <v>3</v>
      </c>
      <c r="AH5" s="9">
        <v>3</v>
      </c>
      <c r="AI5" s="9">
        <v>0</v>
      </c>
      <c r="AJ5" s="9">
        <v>3</v>
      </c>
      <c r="AK5" s="9">
        <v>3</v>
      </c>
      <c r="AL5" s="9">
        <v>0</v>
      </c>
      <c r="AM5" s="9">
        <v>3</v>
      </c>
      <c r="AN5" s="9">
        <v>3</v>
      </c>
      <c r="AO5" s="9">
        <v>0</v>
      </c>
      <c r="AP5" s="9">
        <v>3</v>
      </c>
      <c r="AQ5" s="9">
        <v>3</v>
      </c>
      <c r="AR5" s="9">
        <v>0</v>
      </c>
      <c r="AS5" s="9">
        <v>3</v>
      </c>
      <c r="AT5" s="9">
        <v>3</v>
      </c>
      <c r="AU5" s="9">
        <v>0</v>
      </c>
      <c r="AV5" s="9">
        <v>3</v>
      </c>
      <c r="AW5" s="9">
        <v>3</v>
      </c>
      <c r="AX5" s="9">
        <v>0</v>
      </c>
      <c r="AY5" s="9">
        <v>3</v>
      </c>
      <c r="AZ5" s="9">
        <v>3</v>
      </c>
      <c r="BA5" s="9">
        <v>0</v>
      </c>
      <c r="BB5" s="9">
        <v>3</v>
      </c>
      <c r="BC5" s="9">
        <v>3</v>
      </c>
      <c r="BD5" s="9">
        <v>0</v>
      </c>
      <c r="BE5" s="9">
        <v>3</v>
      </c>
      <c r="BF5" s="9">
        <v>3</v>
      </c>
      <c r="BG5" s="9">
        <v>0</v>
      </c>
      <c r="BH5" s="9">
        <v>3</v>
      </c>
      <c r="BI5" s="9">
        <v>3</v>
      </c>
      <c r="BJ5" s="9">
        <v>0</v>
      </c>
      <c r="BK5" s="9">
        <v>3</v>
      </c>
      <c r="BL5" s="9">
        <v>3</v>
      </c>
      <c r="BM5" s="9">
        <v>0</v>
      </c>
      <c r="BN5" s="9">
        <v>3</v>
      </c>
      <c r="BO5" s="9">
        <v>3</v>
      </c>
      <c r="BP5" s="9">
        <v>0</v>
      </c>
    </row>
    <row r="6" spans="1:68" ht="14.4">
      <c r="A6" s="347"/>
      <c r="B6" s="6" t="s">
        <v>540</v>
      </c>
      <c r="C6" s="7">
        <v>3</v>
      </c>
      <c r="D6" s="8">
        <v>3</v>
      </c>
      <c r="E6" s="9">
        <v>0</v>
      </c>
      <c r="F6" s="7">
        <v>3</v>
      </c>
      <c r="G6" s="8">
        <v>3</v>
      </c>
      <c r="H6" s="9">
        <v>0</v>
      </c>
      <c r="I6" s="9">
        <v>3</v>
      </c>
      <c r="J6" s="9">
        <v>3</v>
      </c>
      <c r="K6" s="9">
        <v>0</v>
      </c>
      <c r="L6" s="7">
        <v>0</v>
      </c>
      <c r="M6" s="7">
        <v>0</v>
      </c>
      <c r="N6" s="9">
        <v>0</v>
      </c>
      <c r="O6" s="9">
        <v>0</v>
      </c>
      <c r="P6" s="7">
        <v>0</v>
      </c>
      <c r="Q6" s="9">
        <v>0</v>
      </c>
      <c r="R6" s="9">
        <v>3</v>
      </c>
      <c r="S6" s="7">
        <v>3</v>
      </c>
      <c r="T6" s="9">
        <v>0</v>
      </c>
      <c r="U6" s="9">
        <v>3</v>
      </c>
      <c r="V6" s="7">
        <v>3</v>
      </c>
      <c r="W6" s="9">
        <v>0</v>
      </c>
      <c r="X6" s="9">
        <v>3</v>
      </c>
      <c r="Y6" s="7">
        <v>3</v>
      </c>
      <c r="Z6" s="9">
        <v>0</v>
      </c>
      <c r="AA6" s="9">
        <v>3</v>
      </c>
      <c r="AB6" s="9">
        <v>3</v>
      </c>
      <c r="AC6" s="9">
        <v>0</v>
      </c>
      <c r="AD6" s="9">
        <v>0</v>
      </c>
      <c r="AE6" s="7">
        <v>0</v>
      </c>
      <c r="AF6" s="9">
        <v>0</v>
      </c>
      <c r="AG6" s="7">
        <v>0</v>
      </c>
      <c r="AH6" s="7">
        <v>0</v>
      </c>
      <c r="AI6" s="9">
        <v>0</v>
      </c>
      <c r="AJ6" s="9">
        <v>0</v>
      </c>
      <c r="AK6" s="7">
        <v>0</v>
      </c>
      <c r="AL6" s="9">
        <v>0</v>
      </c>
      <c r="AM6" s="9">
        <v>0</v>
      </c>
      <c r="AN6" s="7">
        <v>0</v>
      </c>
      <c r="AO6" s="9">
        <v>0</v>
      </c>
      <c r="AP6" s="9">
        <v>0</v>
      </c>
      <c r="AQ6" s="7">
        <v>0</v>
      </c>
      <c r="AR6" s="9">
        <v>0</v>
      </c>
      <c r="AS6" s="9">
        <v>0</v>
      </c>
      <c r="AT6" s="7">
        <v>0</v>
      </c>
      <c r="AU6" s="9">
        <v>0</v>
      </c>
      <c r="AV6" s="7">
        <v>0</v>
      </c>
      <c r="AW6" s="7">
        <v>0</v>
      </c>
      <c r="AX6" s="9">
        <v>0</v>
      </c>
      <c r="AY6" s="7">
        <v>0</v>
      </c>
      <c r="AZ6" s="7">
        <v>0</v>
      </c>
      <c r="BA6" s="9">
        <v>0</v>
      </c>
      <c r="BB6" s="9">
        <v>0</v>
      </c>
      <c r="BC6" s="7">
        <v>0</v>
      </c>
      <c r="BD6" s="9">
        <v>0</v>
      </c>
      <c r="BE6" s="9">
        <v>0</v>
      </c>
      <c r="BF6" s="7">
        <v>0</v>
      </c>
      <c r="BG6" s="9">
        <v>0</v>
      </c>
      <c r="BH6" s="9">
        <v>0</v>
      </c>
      <c r="BI6" s="7">
        <v>0</v>
      </c>
      <c r="BJ6" s="9">
        <v>0</v>
      </c>
      <c r="BK6" s="9">
        <v>0</v>
      </c>
      <c r="BL6" s="7">
        <v>0</v>
      </c>
      <c r="BM6" s="9">
        <v>0</v>
      </c>
      <c r="BN6" s="9">
        <v>0</v>
      </c>
      <c r="BO6" s="7">
        <v>0</v>
      </c>
      <c r="BP6" s="9">
        <v>0</v>
      </c>
    </row>
    <row r="7" spans="1:68" ht="14.4">
      <c r="A7" s="347"/>
      <c r="B7" s="6" t="s">
        <v>541</v>
      </c>
      <c r="C7" s="7">
        <v>3</v>
      </c>
      <c r="D7" s="7">
        <v>3</v>
      </c>
      <c r="E7" s="9">
        <v>0</v>
      </c>
      <c r="F7" s="7">
        <v>3</v>
      </c>
      <c r="G7" s="7">
        <v>3</v>
      </c>
      <c r="H7" s="9">
        <v>0</v>
      </c>
      <c r="I7" s="9">
        <v>3</v>
      </c>
      <c r="J7" s="9">
        <v>3</v>
      </c>
      <c r="K7" s="9">
        <v>0</v>
      </c>
      <c r="L7" s="7">
        <v>3</v>
      </c>
      <c r="M7" s="7">
        <v>3</v>
      </c>
      <c r="N7" s="7">
        <v>0</v>
      </c>
      <c r="O7" s="7">
        <v>1</v>
      </c>
      <c r="P7" s="7">
        <v>1</v>
      </c>
      <c r="Q7" s="9">
        <v>0</v>
      </c>
      <c r="R7" s="7">
        <v>3</v>
      </c>
      <c r="S7" s="7">
        <v>3</v>
      </c>
      <c r="T7" s="9">
        <f t="shared" ref="T7:T11" si="0">R7-S7</f>
        <v>0</v>
      </c>
      <c r="U7" s="7">
        <v>1</v>
      </c>
      <c r="V7" s="7">
        <v>1</v>
      </c>
      <c r="W7" s="9">
        <v>0</v>
      </c>
      <c r="X7" s="7">
        <v>3</v>
      </c>
      <c r="Y7" s="7">
        <v>3</v>
      </c>
      <c r="Z7" s="9">
        <f t="shared" ref="Z7:Z11" si="1">X7-Y7</f>
        <v>0</v>
      </c>
      <c r="AA7" s="9">
        <v>3</v>
      </c>
      <c r="AB7" s="9">
        <v>3</v>
      </c>
      <c r="AC7" s="9">
        <v>0</v>
      </c>
      <c r="AD7" s="7">
        <v>3</v>
      </c>
      <c r="AE7" s="7">
        <v>3</v>
      </c>
      <c r="AF7" s="9">
        <v>0</v>
      </c>
      <c r="AG7" s="7">
        <v>1</v>
      </c>
      <c r="AH7" s="7">
        <v>1</v>
      </c>
      <c r="AI7" s="9">
        <v>0</v>
      </c>
      <c r="AJ7" s="7">
        <v>1</v>
      </c>
      <c r="AK7" s="7">
        <v>1</v>
      </c>
      <c r="AL7" s="9">
        <v>0</v>
      </c>
      <c r="AM7" s="7">
        <v>1</v>
      </c>
      <c r="AN7" s="7">
        <v>1</v>
      </c>
      <c r="AO7" s="9">
        <v>0</v>
      </c>
      <c r="AP7" s="7">
        <v>1</v>
      </c>
      <c r="AQ7" s="7">
        <v>1</v>
      </c>
      <c r="AR7" s="9">
        <v>0</v>
      </c>
      <c r="AS7" s="7">
        <v>1</v>
      </c>
      <c r="AT7" s="7">
        <v>1</v>
      </c>
      <c r="AU7" s="9">
        <v>0</v>
      </c>
      <c r="AV7" s="7">
        <v>1</v>
      </c>
      <c r="AW7" s="7">
        <v>1</v>
      </c>
      <c r="AX7" s="9">
        <v>0</v>
      </c>
      <c r="AY7" s="7">
        <v>1</v>
      </c>
      <c r="AZ7" s="7">
        <v>1</v>
      </c>
      <c r="BA7" s="9">
        <v>0</v>
      </c>
      <c r="BB7" s="7">
        <v>1</v>
      </c>
      <c r="BC7" s="7">
        <v>1</v>
      </c>
      <c r="BD7" s="9">
        <v>0</v>
      </c>
      <c r="BE7" s="7">
        <v>1</v>
      </c>
      <c r="BF7" s="7">
        <v>1</v>
      </c>
      <c r="BG7" s="9">
        <v>0</v>
      </c>
      <c r="BH7" s="7">
        <v>1</v>
      </c>
      <c r="BI7" s="7">
        <v>1</v>
      </c>
      <c r="BJ7" s="9">
        <v>0</v>
      </c>
      <c r="BK7" s="7">
        <v>1</v>
      </c>
      <c r="BL7" s="7">
        <v>1</v>
      </c>
      <c r="BM7" s="9">
        <v>0</v>
      </c>
      <c r="BN7" s="7">
        <v>3</v>
      </c>
      <c r="BO7" s="7">
        <v>3</v>
      </c>
      <c r="BP7" s="9">
        <v>0</v>
      </c>
    </row>
    <row r="8" spans="1:68" ht="14.4">
      <c r="A8" s="347"/>
      <c r="B8" s="6" t="s">
        <v>542</v>
      </c>
      <c r="C8" s="7">
        <v>3</v>
      </c>
      <c r="D8" s="7">
        <v>3</v>
      </c>
      <c r="E8" s="9">
        <v>0</v>
      </c>
      <c r="F8" s="7">
        <v>3</v>
      </c>
      <c r="G8" s="7">
        <v>3</v>
      </c>
      <c r="H8" s="9">
        <v>0</v>
      </c>
      <c r="I8" s="9">
        <v>3</v>
      </c>
      <c r="J8" s="9">
        <v>3</v>
      </c>
      <c r="K8" s="9">
        <v>0</v>
      </c>
      <c r="L8" s="7">
        <v>1</v>
      </c>
      <c r="M8" s="7">
        <v>1</v>
      </c>
      <c r="N8" s="7">
        <v>0</v>
      </c>
      <c r="O8" s="7">
        <v>3</v>
      </c>
      <c r="P8" s="7">
        <v>3</v>
      </c>
      <c r="Q8" s="9">
        <v>1</v>
      </c>
      <c r="R8" s="7">
        <v>3</v>
      </c>
      <c r="S8" s="7">
        <v>3</v>
      </c>
      <c r="T8" s="9">
        <f t="shared" si="0"/>
        <v>0</v>
      </c>
      <c r="U8" s="7">
        <v>1</v>
      </c>
      <c r="V8" s="7">
        <v>1</v>
      </c>
      <c r="W8" s="9">
        <v>0</v>
      </c>
      <c r="X8" s="7">
        <v>3</v>
      </c>
      <c r="Y8" s="7">
        <v>3</v>
      </c>
      <c r="Z8" s="9">
        <f t="shared" si="1"/>
        <v>0</v>
      </c>
      <c r="AA8" s="9">
        <v>3</v>
      </c>
      <c r="AB8" s="9">
        <v>3</v>
      </c>
      <c r="AC8" s="9">
        <v>0</v>
      </c>
      <c r="AD8" s="7">
        <v>1</v>
      </c>
      <c r="AE8" s="7">
        <v>1</v>
      </c>
      <c r="AF8" s="9">
        <v>0</v>
      </c>
      <c r="AG8" s="7">
        <v>1</v>
      </c>
      <c r="AH8" s="7">
        <v>1</v>
      </c>
      <c r="AI8" s="9">
        <v>0</v>
      </c>
      <c r="AJ8" s="7">
        <v>1</v>
      </c>
      <c r="AK8" s="7">
        <v>1</v>
      </c>
      <c r="AL8" s="9">
        <v>0</v>
      </c>
      <c r="AM8" s="7">
        <v>1</v>
      </c>
      <c r="AN8" s="7">
        <v>1</v>
      </c>
      <c r="AO8" s="9">
        <v>0</v>
      </c>
      <c r="AP8" s="7">
        <v>1</v>
      </c>
      <c r="AQ8" s="7">
        <v>1</v>
      </c>
      <c r="AR8" s="9">
        <v>0</v>
      </c>
      <c r="AS8" s="7">
        <v>1</v>
      </c>
      <c r="AT8" s="7">
        <v>1</v>
      </c>
      <c r="AU8" s="9">
        <v>0</v>
      </c>
      <c r="AV8" s="7">
        <v>1</v>
      </c>
      <c r="AW8" s="7">
        <v>1</v>
      </c>
      <c r="AX8" s="9">
        <v>0</v>
      </c>
      <c r="AY8" s="7">
        <v>1</v>
      </c>
      <c r="AZ8" s="7">
        <v>1</v>
      </c>
      <c r="BA8" s="9">
        <v>0</v>
      </c>
      <c r="BB8" s="7">
        <v>1</v>
      </c>
      <c r="BC8" s="7">
        <v>1</v>
      </c>
      <c r="BD8" s="9">
        <v>0</v>
      </c>
      <c r="BE8" s="7">
        <v>1</v>
      </c>
      <c r="BF8" s="7">
        <v>1</v>
      </c>
      <c r="BG8" s="9">
        <v>0</v>
      </c>
      <c r="BH8" s="7">
        <v>1</v>
      </c>
      <c r="BI8" s="7">
        <v>1</v>
      </c>
      <c r="BJ8" s="9">
        <v>0</v>
      </c>
      <c r="BK8" s="7">
        <v>1</v>
      </c>
      <c r="BL8" s="7">
        <v>1</v>
      </c>
      <c r="BM8" s="9">
        <v>0</v>
      </c>
      <c r="BN8" s="7">
        <v>3</v>
      </c>
      <c r="BO8" s="7">
        <v>3</v>
      </c>
      <c r="BP8" s="9">
        <v>0</v>
      </c>
    </row>
    <row r="9" spans="1:68" ht="14.4">
      <c r="A9" s="347"/>
      <c r="B9" s="6" t="s">
        <v>543</v>
      </c>
      <c r="C9" s="7">
        <v>3</v>
      </c>
      <c r="D9" s="7">
        <v>3</v>
      </c>
      <c r="E9" s="9">
        <v>0</v>
      </c>
      <c r="F9" s="7">
        <v>3</v>
      </c>
      <c r="G9" s="7">
        <v>3</v>
      </c>
      <c r="H9" s="9">
        <v>0</v>
      </c>
      <c r="I9" s="9">
        <v>3</v>
      </c>
      <c r="J9" s="9">
        <v>3</v>
      </c>
      <c r="K9" s="9">
        <v>0</v>
      </c>
      <c r="L9" s="7">
        <v>1</v>
      </c>
      <c r="M9" s="7">
        <v>1</v>
      </c>
      <c r="N9" s="7">
        <v>0</v>
      </c>
      <c r="O9" s="7">
        <v>1</v>
      </c>
      <c r="P9" s="7">
        <v>1</v>
      </c>
      <c r="Q9" s="9">
        <f t="shared" ref="Q9:Q11" si="2">O9-P9</f>
        <v>0</v>
      </c>
      <c r="R9" s="7">
        <v>3</v>
      </c>
      <c r="S9" s="7">
        <v>3</v>
      </c>
      <c r="T9" s="9">
        <f t="shared" si="0"/>
        <v>0</v>
      </c>
      <c r="U9" s="7">
        <v>1</v>
      </c>
      <c r="V9" s="7">
        <v>1</v>
      </c>
      <c r="W9" s="9">
        <v>0</v>
      </c>
      <c r="X9" s="7">
        <v>3</v>
      </c>
      <c r="Y9" s="7">
        <v>3</v>
      </c>
      <c r="Z9" s="9">
        <f t="shared" si="1"/>
        <v>0</v>
      </c>
      <c r="AA9" s="9">
        <v>3</v>
      </c>
      <c r="AB9" s="9">
        <v>3</v>
      </c>
      <c r="AC9" s="9">
        <v>0</v>
      </c>
      <c r="AD9" s="7">
        <v>1</v>
      </c>
      <c r="AE9" s="7">
        <v>1</v>
      </c>
      <c r="AF9" s="9">
        <v>0</v>
      </c>
      <c r="AG9" s="7">
        <v>1</v>
      </c>
      <c r="AH9" s="7">
        <v>1</v>
      </c>
      <c r="AI9" s="9">
        <v>0</v>
      </c>
      <c r="AJ9" s="7">
        <v>1</v>
      </c>
      <c r="AK9" s="7">
        <v>1</v>
      </c>
      <c r="AL9" s="9">
        <v>0</v>
      </c>
      <c r="AM9" s="7">
        <v>1</v>
      </c>
      <c r="AN9" s="7">
        <v>1</v>
      </c>
      <c r="AO9" s="9">
        <v>0</v>
      </c>
      <c r="AP9" s="7">
        <v>1</v>
      </c>
      <c r="AQ9" s="7">
        <v>1</v>
      </c>
      <c r="AR9" s="9">
        <v>0</v>
      </c>
      <c r="AS9" s="7">
        <v>1</v>
      </c>
      <c r="AT9" s="7">
        <v>1</v>
      </c>
      <c r="AU9" s="9">
        <v>0</v>
      </c>
      <c r="AV9" s="7">
        <v>1</v>
      </c>
      <c r="AW9" s="7">
        <v>1</v>
      </c>
      <c r="AX9" s="9">
        <v>0</v>
      </c>
      <c r="AY9" s="7">
        <v>1</v>
      </c>
      <c r="AZ9" s="7">
        <v>1</v>
      </c>
      <c r="BA9" s="9">
        <v>0</v>
      </c>
      <c r="BB9" s="7">
        <v>1</v>
      </c>
      <c r="BC9" s="7">
        <v>1</v>
      </c>
      <c r="BD9" s="9">
        <v>0</v>
      </c>
      <c r="BE9" s="7">
        <v>1</v>
      </c>
      <c r="BF9" s="7">
        <v>1</v>
      </c>
      <c r="BG9" s="9">
        <v>0</v>
      </c>
      <c r="BH9" s="7">
        <v>1</v>
      </c>
      <c r="BI9" s="7">
        <v>1</v>
      </c>
      <c r="BJ9" s="9">
        <v>0</v>
      </c>
      <c r="BK9" s="7">
        <v>1</v>
      </c>
      <c r="BL9" s="7">
        <v>1</v>
      </c>
      <c r="BM9" s="9">
        <v>0</v>
      </c>
      <c r="BN9" s="7">
        <v>3</v>
      </c>
      <c r="BO9" s="7">
        <v>3</v>
      </c>
      <c r="BP9" s="9">
        <v>0</v>
      </c>
    </row>
    <row r="10" spans="1:68" ht="14.4">
      <c r="A10" s="347"/>
      <c r="B10" s="6" t="s">
        <v>544</v>
      </c>
      <c r="C10" s="7">
        <v>4</v>
      </c>
      <c r="D10" s="7">
        <v>4</v>
      </c>
      <c r="E10" s="9">
        <v>0</v>
      </c>
      <c r="F10" s="7">
        <v>0</v>
      </c>
      <c r="G10" s="7">
        <v>0</v>
      </c>
      <c r="H10" s="9">
        <v>0</v>
      </c>
      <c r="I10" s="9">
        <v>3</v>
      </c>
      <c r="J10" s="9">
        <v>3</v>
      </c>
      <c r="K10" s="9">
        <v>0</v>
      </c>
      <c r="L10" s="7">
        <v>3</v>
      </c>
      <c r="M10" s="7">
        <v>3</v>
      </c>
      <c r="N10" s="9">
        <v>0</v>
      </c>
      <c r="O10" s="7">
        <v>1</v>
      </c>
      <c r="P10" s="7">
        <v>1</v>
      </c>
      <c r="Q10" s="9">
        <f t="shared" si="2"/>
        <v>0</v>
      </c>
      <c r="R10" s="7">
        <v>3</v>
      </c>
      <c r="S10" s="7">
        <v>3</v>
      </c>
      <c r="T10" s="9">
        <f t="shared" si="0"/>
        <v>0</v>
      </c>
      <c r="U10" s="7">
        <v>1</v>
      </c>
      <c r="V10" s="7">
        <v>1</v>
      </c>
      <c r="W10" s="9">
        <v>0</v>
      </c>
      <c r="X10" s="7">
        <v>3</v>
      </c>
      <c r="Y10" s="7">
        <v>3</v>
      </c>
      <c r="Z10" s="9">
        <f t="shared" si="1"/>
        <v>0</v>
      </c>
      <c r="AA10" s="9">
        <v>3</v>
      </c>
      <c r="AB10" s="9">
        <v>3</v>
      </c>
      <c r="AC10" s="9">
        <v>0</v>
      </c>
      <c r="AD10" s="7">
        <v>1</v>
      </c>
      <c r="AE10" s="7">
        <v>1</v>
      </c>
      <c r="AF10" s="9">
        <v>0</v>
      </c>
      <c r="AG10" s="7">
        <v>1</v>
      </c>
      <c r="AH10" s="7">
        <v>1</v>
      </c>
      <c r="AI10" s="9">
        <v>0</v>
      </c>
      <c r="AJ10" s="7">
        <v>1</v>
      </c>
      <c r="AK10" s="7">
        <v>1</v>
      </c>
      <c r="AL10" s="9">
        <v>0</v>
      </c>
      <c r="AM10" s="7">
        <v>1</v>
      </c>
      <c r="AN10" s="7">
        <v>1</v>
      </c>
      <c r="AO10" s="9">
        <v>0</v>
      </c>
      <c r="AP10" s="7">
        <v>1</v>
      </c>
      <c r="AQ10" s="7">
        <v>1</v>
      </c>
      <c r="AR10" s="9">
        <v>0</v>
      </c>
      <c r="AS10" s="7">
        <v>1</v>
      </c>
      <c r="AT10" s="7">
        <v>1</v>
      </c>
      <c r="AU10" s="9">
        <v>0</v>
      </c>
      <c r="AV10" s="7">
        <v>1</v>
      </c>
      <c r="AW10" s="7">
        <v>1</v>
      </c>
      <c r="AX10" s="9">
        <v>0</v>
      </c>
      <c r="AY10" s="7">
        <v>1</v>
      </c>
      <c r="AZ10" s="7">
        <v>1</v>
      </c>
      <c r="BA10" s="9">
        <v>0</v>
      </c>
      <c r="BB10" s="7">
        <v>1</v>
      </c>
      <c r="BC10" s="7">
        <v>1</v>
      </c>
      <c r="BD10" s="9">
        <v>0</v>
      </c>
      <c r="BE10" s="7">
        <v>1</v>
      </c>
      <c r="BF10" s="7">
        <v>1</v>
      </c>
      <c r="BG10" s="9">
        <v>0</v>
      </c>
      <c r="BH10" s="7">
        <v>1</v>
      </c>
      <c r="BI10" s="7">
        <v>1</v>
      </c>
      <c r="BJ10" s="9">
        <v>0</v>
      </c>
      <c r="BK10" s="7">
        <v>1</v>
      </c>
      <c r="BL10" s="7">
        <v>1</v>
      </c>
      <c r="BM10" s="9">
        <v>0</v>
      </c>
      <c r="BN10" s="7">
        <v>3</v>
      </c>
      <c r="BO10" s="7">
        <v>3</v>
      </c>
      <c r="BP10" s="9">
        <v>0</v>
      </c>
    </row>
    <row r="11" spans="1:68" ht="14.4">
      <c r="A11" s="347"/>
      <c r="B11" s="6" t="s">
        <v>545</v>
      </c>
      <c r="C11" s="7">
        <v>3</v>
      </c>
      <c r="D11" s="7">
        <v>3</v>
      </c>
      <c r="E11" s="9">
        <f>C11-D11</f>
        <v>0</v>
      </c>
      <c r="F11" s="7">
        <v>3</v>
      </c>
      <c r="G11" s="7">
        <v>3</v>
      </c>
      <c r="H11" s="9">
        <f>F11-G11</f>
        <v>0</v>
      </c>
      <c r="I11" s="7">
        <v>3</v>
      </c>
      <c r="J11" s="7">
        <v>3</v>
      </c>
      <c r="K11" s="9">
        <f>I11-J11</f>
        <v>0</v>
      </c>
      <c r="L11" s="9">
        <v>3</v>
      </c>
      <c r="M11" s="9">
        <v>3</v>
      </c>
      <c r="N11" s="9">
        <f>L11-M11</f>
        <v>0</v>
      </c>
      <c r="O11" s="7">
        <v>3</v>
      </c>
      <c r="P11" s="7">
        <v>3</v>
      </c>
      <c r="Q11" s="9">
        <f t="shared" si="2"/>
        <v>0</v>
      </c>
      <c r="R11" s="7">
        <v>3</v>
      </c>
      <c r="S11" s="7">
        <v>3</v>
      </c>
      <c r="T11" s="9">
        <f t="shared" si="0"/>
        <v>0</v>
      </c>
      <c r="U11" s="7">
        <v>4</v>
      </c>
      <c r="V11" s="7">
        <v>4</v>
      </c>
      <c r="W11" s="9">
        <f>U11-V11</f>
        <v>0</v>
      </c>
      <c r="X11" s="7">
        <v>3</v>
      </c>
      <c r="Y11" s="7">
        <v>3</v>
      </c>
      <c r="Z11" s="9">
        <f t="shared" si="1"/>
        <v>0</v>
      </c>
      <c r="AA11" s="7">
        <v>3</v>
      </c>
      <c r="AB11" s="7">
        <v>3</v>
      </c>
      <c r="AC11" s="9">
        <f>AA11-AB11</f>
        <v>0</v>
      </c>
      <c r="AD11" s="7">
        <v>3</v>
      </c>
      <c r="AE11" s="7">
        <v>3</v>
      </c>
      <c r="AF11" s="9">
        <f>AD11-AE11</f>
        <v>0</v>
      </c>
      <c r="AG11" s="7">
        <v>3</v>
      </c>
      <c r="AH11" s="7">
        <v>3</v>
      </c>
      <c r="AI11" s="9">
        <f>AG11-AH11</f>
        <v>0</v>
      </c>
      <c r="AJ11" s="7">
        <v>3</v>
      </c>
      <c r="AK11" s="7">
        <v>3</v>
      </c>
      <c r="AL11" s="9">
        <f>AJ11-AK11</f>
        <v>0</v>
      </c>
      <c r="AM11" s="7">
        <v>3</v>
      </c>
      <c r="AN11" s="7">
        <v>3</v>
      </c>
      <c r="AO11" s="9">
        <f>AM11-AN11</f>
        <v>0</v>
      </c>
      <c r="AP11" s="7">
        <v>3</v>
      </c>
      <c r="AQ11" s="7">
        <v>3</v>
      </c>
      <c r="AR11" s="9">
        <f>AP11-AQ11</f>
        <v>0</v>
      </c>
      <c r="AS11" s="7">
        <v>3</v>
      </c>
      <c r="AT11" s="7">
        <v>3</v>
      </c>
      <c r="AU11" s="9">
        <f>AS11-AT11</f>
        <v>0</v>
      </c>
      <c r="AV11" s="7">
        <v>3</v>
      </c>
      <c r="AW11" s="7">
        <v>3</v>
      </c>
      <c r="AX11" s="9">
        <f>AV11-AW11</f>
        <v>0</v>
      </c>
      <c r="AY11" s="7">
        <v>3</v>
      </c>
      <c r="AZ11" s="7">
        <v>3</v>
      </c>
      <c r="BA11" s="9">
        <f>AY11-AZ11</f>
        <v>0</v>
      </c>
      <c r="BB11" s="7">
        <v>3</v>
      </c>
      <c r="BC11" s="7">
        <v>3</v>
      </c>
      <c r="BD11" s="9">
        <f>BB11-BC11</f>
        <v>0</v>
      </c>
      <c r="BE11" s="7">
        <v>3</v>
      </c>
      <c r="BF11" s="7">
        <v>3</v>
      </c>
      <c r="BG11" s="9">
        <f>BE11-BF11</f>
        <v>0</v>
      </c>
      <c r="BH11" s="7">
        <v>3</v>
      </c>
      <c r="BI11" s="7">
        <v>3</v>
      </c>
      <c r="BJ11" s="9">
        <f>BH11-BI11</f>
        <v>0</v>
      </c>
      <c r="BK11" s="7">
        <v>3</v>
      </c>
      <c r="BL11" s="7">
        <v>3</v>
      </c>
      <c r="BM11" s="9">
        <f>BK11-BL11</f>
        <v>0</v>
      </c>
      <c r="BN11" s="7">
        <v>3</v>
      </c>
      <c r="BO11" s="7">
        <v>3</v>
      </c>
      <c r="BP11" s="9">
        <f>BN11-BO11</f>
        <v>0</v>
      </c>
    </row>
    <row r="12" spans="1:68" ht="14.4">
      <c r="A12" s="347"/>
      <c r="B12" s="6" t="s">
        <v>546</v>
      </c>
      <c r="C12" s="7">
        <v>3</v>
      </c>
      <c r="D12" s="7">
        <v>3</v>
      </c>
      <c r="E12" s="9">
        <v>0</v>
      </c>
      <c r="F12" s="7">
        <v>3</v>
      </c>
      <c r="G12" s="7">
        <v>3</v>
      </c>
      <c r="H12" s="9">
        <v>0</v>
      </c>
      <c r="I12" s="9">
        <v>3</v>
      </c>
      <c r="J12" s="9">
        <v>3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3</v>
      </c>
      <c r="AB12" s="9">
        <v>3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</row>
    <row r="13" spans="1:68" ht="14.4">
      <c r="A13" s="347"/>
      <c r="B13" s="6" t="s">
        <v>547</v>
      </c>
      <c r="C13" s="7">
        <v>3</v>
      </c>
      <c r="D13" s="7">
        <v>3</v>
      </c>
      <c r="E13" s="9">
        <v>0</v>
      </c>
      <c r="F13" s="7">
        <v>3</v>
      </c>
      <c r="G13" s="7">
        <v>3</v>
      </c>
      <c r="H13" s="9">
        <v>0</v>
      </c>
      <c r="I13" s="9">
        <v>3</v>
      </c>
      <c r="J13" s="9">
        <v>3</v>
      </c>
      <c r="K13" s="9">
        <v>0</v>
      </c>
      <c r="L13" s="9">
        <v>3</v>
      </c>
      <c r="M13" s="9">
        <v>3</v>
      </c>
      <c r="N13" s="9">
        <v>0</v>
      </c>
      <c r="O13" s="9">
        <v>3</v>
      </c>
      <c r="P13" s="9">
        <v>3</v>
      </c>
      <c r="Q13" s="9">
        <v>0</v>
      </c>
      <c r="R13" s="9">
        <v>3</v>
      </c>
      <c r="S13" s="9">
        <v>3</v>
      </c>
      <c r="T13" s="9">
        <v>0</v>
      </c>
      <c r="U13" s="9">
        <v>3</v>
      </c>
      <c r="V13" s="9">
        <v>3</v>
      </c>
      <c r="W13" s="9">
        <v>0</v>
      </c>
      <c r="X13" s="9">
        <v>3</v>
      </c>
      <c r="Y13" s="9">
        <v>3</v>
      </c>
      <c r="Z13" s="9">
        <v>0</v>
      </c>
      <c r="AA13" s="9">
        <v>3</v>
      </c>
      <c r="AB13" s="9">
        <v>3</v>
      </c>
      <c r="AC13" s="9">
        <v>0</v>
      </c>
      <c r="AD13" s="9">
        <v>3</v>
      </c>
      <c r="AE13" s="9">
        <v>3</v>
      </c>
      <c r="AF13" s="9">
        <v>0</v>
      </c>
      <c r="AG13" s="9">
        <v>3</v>
      </c>
      <c r="AH13" s="9">
        <v>3</v>
      </c>
      <c r="AI13" s="9">
        <v>0</v>
      </c>
      <c r="AJ13" s="9">
        <v>3</v>
      </c>
      <c r="AK13" s="9">
        <v>3</v>
      </c>
      <c r="AL13" s="9">
        <v>0</v>
      </c>
      <c r="AM13" s="9">
        <v>3</v>
      </c>
      <c r="AN13" s="9">
        <v>3</v>
      </c>
      <c r="AO13" s="9">
        <v>0</v>
      </c>
      <c r="AP13" s="9">
        <v>3</v>
      </c>
      <c r="AQ13" s="9">
        <v>3</v>
      </c>
      <c r="AR13" s="9">
        <v>0</v>
      </c>
      <c r="AS13" s="9">
        <v>3</v>
      </c>
      <c r="AT13" s="9">
        <v>3</v>
      </c>
      <c r="AU13" s="9">
        <v>0</v>
      </c>
      <c r="AV13" s="9">
        <v>3</v>
      </c>
      <c r="AW13" s="9">
        <v>3</v>
      </c>
      <c r="AX13" s="9">
        <v>0</v>
      </c>
      <c r="AY13" s="9">
        <v>3</v>
      </c>
      <c r="AZ13" s="9">
        <v>3</v>
      </c>
      <c r="BA13" s="9">
        <v>0</v>
      </c>
      <c r="BB13" s="9">
        <v>3</v>
      </c>
      <c r="BC13" s="9">
        <v>3</v>
      </c>
      <c r="BD13" s="9">
        <v>0</v>
      </c>
      <c r="BE13" s="9">
        <v>3</v>
      </c>
      <c r="BF13" s="9">
        <v>3</v>
      </c>
      <c r="BG13" s="9">
        <v>0</v>
      </c>
      <c r="BH13" s="9">
        <v>3</v>
      </c>
      <c r="BI13" s="9">
        <v>3</v>
      </c>
      <c r="BJ13" s="9">
        <v>0</v>
      </c>
      <c r="BK13" s="9">
        <v>3</v>
      </c>
      <c r="BL13" s="9">
        <v>3</v>
      </c>
      <c r="BM13" s="9">
        <v>0</v>
      </c>
      <c r="BN13" s="9">
        <v>3</v>
      </c>
      <c r="BO13" s="9">
        <v>3</v>
      </c>
      <c r="BP13" s="9">
        <v>0</v>
      </c>
    </row>
    <row r="14" spans="1:68" ht="14.4">
      <c r="A14" s="347"/>
      <c r="B14" s="6" t="s">
        <v>548</v>
      </c>
      <c r="C14" s="9">
        <v>3</v>
      </c>
      <c r="D14" s="9">
        <v>3</v>
      </c>
      <c r="E14" s="9">
        <v>0</v>
      </c>
      <c r="F14" s="9">
        <v>3</v>
      </c>
      <c r="G14" s="9">
        <v>3</v>
      </c>
      <c r="H14" s="9">
        <v>0</v>
      </c>
      <c r="I14" s="9">
        <v>3</v>
      </c>
      <c r="J14" s="9">
        <v>3</v>
      </c>
      <c r="K14" s="9">
        <v>0</v>
      </c>
      <c r="L14" s="9">
        <v>3</v>
      </c>
      <c r="M14" s="9">
        <v>3</v>
      </c>
      <c r="N14" s="9">
        <v>0</v>
      </c>
      <c r="O14" s="9">
        <v>3</v>
      </c>
      <c r="P14" s="9">
        <v>3</v>
      </c>
      <c r="Q14" s="9">
        <v>0</v>
      </c>
      <c r="R14" s="9">
        <v>3</v>
      </c>
      <c r="S14" s="9">
        <v>3</v>
      </c>
      <c r="T14" s="9">
        <v>0</v>
      </c>
      <c r="U14" s="9">
        <v>3</v>
      </c>
      <c r="V14" s="9">
        <v>3</v>
      </c>
      <c r="W14" s="9">
        <v>0</v>
      </c>
      <c r="X14" s="9">
        <v>3</v>
      </c>
      <c r="Y14" s="9">
        <v>3</v>
      </c>
      <c r="Z14" s="9">
        <v>0</v>
      </c>
      <c r="AA14" s="9">
        <v>3</v>
      </c>
      <c r="AB14" s="9">
        <v>3</v>
      </c>
      <c r="AC14" s="9">
        <v>0</v>
      </c>
      <c r="AD14" s="9">
        <v>0</v>
      </c>
      <c r="AE14" s="9">
        <v>0</v>
      </c>
      <c r="AF14" s="9">
        <v>0</v>
      </c>
      <c r="AG14" s="9">
        <v>3</v>
      </c>
      <c r="AH14" s="9">
        <v>3</v>
      </c>
      <c r="AI14" s="9">
        <v>0</v>
      </c>
      <c r="AJ14" s="9">
        <v>3</v>
      </c>
      <c r="AK14" s="9">
        <v>3</v>
      </c>
      <c r="AL14" s="9">
        <v>0</v>
      </c>
      <c r="AM14" s="9">
        <v>3</v>
      </c>
      <c r="AN14" s="9">
        <v>3</v>
      </c>
      <c r="AO14" s="9">
        <v>0</v>
      </c>
      <c r="AP14" s="9">
        <v>3</v>
      </c>
      <c r="AQ14" s="9">
        <v>3</v>
      </c>
      <c r="AR14" s="9">
        <v>0</v>
      </c>
      <c r="AS14" s="9">
        <v>3</v>
      </c>
      <c r="AT14" s="9">
        <v>3</v>
      </c>
      <c r="AU14" s="9">
        <v>0</v>
      </c>
      <c r="AV14" s="9">
        <v>3</v>
      </c>
      <c r="AW14" s="9">
        <v>3</v>
      </c>
      <c r="AX14" s="9">
        <v>0</v>
      </c>
      <c r="AY14" s="9">
        <v>3</v>
      </c>
      <c r="AZ14" s="9">
        <v>3</v>
      </c>
      <c r="BA14" s="9">
        <v>0</v>
      </c>
      <c r="BB14" s="9">
        <v>0</v>
      </c>
      <c r="BC14" s="9">
        <v>0</v>
      </c>
      <c r="BD14" s="9">
        <v>0</v>
      </c>
      <c r="BE14" s="9">
        <v>3</v>
      </c>
      <c r="BF14" s="9">
        <v>3</v>
      </c>
      <c r="BG14" s="9">
        <v>0</v>
      </c>
      <c r="BH14" s="9">
        <v>3</v>
      </c>
      <c r="BI14" s="9">
        <v>3</v>
      </c>
      <c r="BJ14" s="9">
        <v>0</v>
      </c>
      <c r="BK14" s="9">
        <v>3</v>
      </c>
      <c r="BL14" s="9">
        <v>3</v>
      </c>
      <c r="BM14" s="9">
        <v>0</v>
      </c>
      <c r="BN14" s="9">
        <v>3</v>
      </c>
      <c r="BO14" s="9">
        <v>3</v>
      </c>
      <c r="BP14" s="9">
        <v>0</v>
      </c>
    </row>
    <row r="15" spans="1:68">
      <c r="A15" s="347"/>
      <c r="B15" s="8" t="s">
        <v>549</v>
      </c>
      <c r="C15" s="7">
        <v>3</v>
      </c>
      <c r="D15" s="7">
        <v>3</v>
      </c>
      <c r="E15" s="9">
        <v>0</v>
      </c>
      <c r="F15" s="9">
        <v>3</v>
      </c>
      <c r="G15" s="9">
        <v>3</v>
      </c>
      <c r="H15" s="9">
        <v>0</v>
      </c>
      <c r="I15" s="9">
        <v>3</v>
      </c>
      <c r="J15" s="9">
        <v>3</v>
      </c>
      <c r="K15" s="9">
        <v>0</v>
      </c>
      <c r="L15" s="9">
        <v>3</v>
      </c>
      <c r="M15" s="9">
        <v>3</v>
      </c>
      <c r="N15" s="9">
        <v>0</v>
      </c>
      <c r="O15" s="9">
        <v>3</v>
      </c>
      <c r="P15" s="9">
        <v>3</v>
      </c>
      <c r="Q15" s="9">
        <v>0</v>
      </c>
      <c r="R15" s="9">
        <v>3</v>
      </c>
      <c r="S15" s="9">
        <v>3</v>
      </c>
      <c r="T15" s="9">
        <v>0</v>
      </c>
      <c r="U15" s="9">
        <v>3</v>
      </c>
      <c r="V15" s="9">
        <v>3</v>
      </c>
      <c r="W15" s="9">
        <v>0</v>
      </c>
      <c r="X15" s="9">
        <v>3</v>
      </c>
      <c r="Y15" s="9">
        <v>3</v>
      </c>
      <c r="Z15" s="9">
        <v>0</v>
      </c>
      <c r="AA15" s="9">
        <v>3</v>
      </c>
      <c r="AB15" s="9">
        <v>3</v>
      </c>
      <c r="AC15" s="9">
        <v>0</v>
      </c>
      <c r="AD15" s="9">
        <v>3</v>
      </c>
      <c r="AE15" s="9">
        <v>3</v>
      </c>
      <c r="AF15" s="9">
        <v>0</v>
      </c>
      <c r="AG15" s="9">
        <v>3</v>
      </c>
      <c r="AH15" s="9">
        <v>3</v>
      </c>
      <c r="AI15" s="9">
        <v>0</v>
      </c>
      <c r="AJ15" s="9">
        <v>3</v>
      </c>
      <c r="AK15" s="9">
        <v>3</v>
      </c>
      <c r="AL15" s="9">
        <v>0</v>
      </c>
      <c r="AM15" s="9">
        <v>3</v>
      </c>
      <c r="AN15" s="9">
        <v>3</v>
      </c>
      <c r="AO15" s="9">
        <v>0</v>
      </c>
      <c r="AP15" s="9">
        <v>3</v>
      </c>
      <c r="AQ15" s="9">
        <v>3</v>
      </c>
      <c r="AR15" s="9">
        <v>0</v>
      </c>
      <c r="AS15" s="9">
        <v>3</v>
      </c>
      <c r="AT15" s="9">
        <v>3</v>
      </c>
      <c r="AU15" s="9">
        <v>0</v>
      </c>
      <c r="AV15" s="9">
        <v>3</v>
      </c>
      <c r="AW15" s="9">
        <v>3</v>
      </c>
      <c r="AX15" s="9">
        <v>0</v>
      </c>
      <c r="AY15" s="9">
        <v>3</v>
      </c>
      <c r="AZ15" s="9">
        <v>3</v>
      </c>
      <c r="BA15" s="9">
        <v>0</v>
      </c>
      <c r="BB15" s="9">
        <v>3</v>
      </c>
      <c r="BC15" s="9">
        <v>3</v>
      </c>
      <c r="BD15" s="9">
        <v>0</v>
      </c>
      <c r="BE15" s="9">
        <v>3</v>
      </c>
      <c r="BF15" s="9">
        <v>3</v>
      </c>
      <c r="BG15" s="9">
        <v>0</v>
      </c>
      <c r="BH15" s="9">
        <v>3</v>
      </c>
      <c r="BI15" s="9">
        <v>3</v>
      </c>
      <c r="BJ15" s="9">
        <v>0</v>
      </c>
      <c r="BK15" s="9">
        <v>3</v>
      </c>
      <c r="BL15" s="9">
        <v>3</v>
      </c>
      <c r="BM15" s="9">
        <v>0</v>
      </c>
      <c r="BN15" s="9">
        <v>3</v>
      </c>
      <c r="BO15" s="9">
        <v>3</v>
      </c>
      <c r="BP15" s="9">
        <v>0</v>
      </c>
    </row>
    <row r="16" spans="1:68" ht="14.4">
      <c r="A16" s="347"/>
      <c r="B16" s="6" t="s">
        <v>550</v>
      </c>
      <c r="C16" s="7">
        <v>4</v>
      </c>
      <c r="D16" s="7">
        <v>4</v>
      </c>
      <c r="E16" s="9">
        <v>0</v>
      </c>
      <c r="F16" s="9">
        <v>3</v>
      </c>
      <c r="G16" s="9">
        <v>3</v>
      </c>
      <c r="H16" s="9">
        <v>0</v>
      </c>
      <c r="I16" s="9">
        <v>3</v>
      </c>
      <c r="J16" s="9">
        <v>3</v>
      </c>
      <c r="K16" s="9">
        <v>0</v>
      </c>
      <c r="L16" s="9">
        <v>3</v>
      </c>
      <c r="M16" s="9">
        <v>3</v>
      </c>
      <c r="N16" s="9">
        <v>0</v>
      </c>
      <c r="O16" s="9">
        <v>3</v>
      </c>
      <c r="P16" s="9">
        <v>3</v>
      </c>
      <c r="Q16" s="9">
        <v>0</v>
      </c>
      <c r="R16" s="9">
        <v>4</v>
      </c>
      <c r="S16" s="9">
        <v>4</v>
      </c>
      <c r="T16" s="9">
        <v>0</v>
      </c>
      <c r="U16" s="9">
        <v>3</v>
      </c>
      <c r="V16" s="9">
        <v>3</v>
      </c>
      <c r="W16" s="9">
        <v>0</v>
      </c>
      <c r="X16" s="9">
        <v>4</v>
      </c>
      <c r="Y16" s="9">
        <v>4</v>
      </c>
      <c r="Z16" s="9">
        <v>0</v>
      </c>
      <c r="AA16" s="9">
        <v>3</v>
      </c>
      <c r="AB16" s="9">
        <v>3</v>
      </c>
      <c r="AC16" s="9">
        <v>0</v>
      </c>
      <c r="AD16" s="9">
        <v>3</v>
      </c>
      <c r="AE16" s="9">
        <v>3</v>
      </c>
      <c r="AF16" s="9">
        <v>0</v>
      </c>
      <c r="AG16" s="9">
        <v>3</v>
      </c>
      <c r="AH16" s="9">
        <v>3</v>
      </c>
      <c r="AI16" s="9">
        <v>0</v>
      </c>
      <c r="AJ16" s="9">
        <v>3</v>
      </c>
      <c r="AK16" s="9">
        <v>3</v>
      </c>
      <c r="AL16" s="9">
        <v>0</v>
      </c>
      <c r="AM16" s="9">
        <v>3</v>
      </c>
      <c r="AN16" s="9">
        <v>3</v>
      </c>
      <c r="AO16" s="9">
        <v>0</v>
      </c>
      <c r="AP16" s="9">
        <v>3</v>
      </c>
      <c r="AQ16" s="9">
        <v>3</v>
      </c>
      <c r="AR16" s="9">
        <v>0</v>
      </c>
      <c r="AS16" s="9">
        <v>3</v>
      </c>
      <c r="AT16" s="9">
        <v>3</v>
      </c>
      <c r="AU16" s="9">
        <v>0</v>
      </c>
      <c r="AV16" s="9">
        <v>3</v>
      </c>
      <c r="AW16" s="9">
        <v>3</v>
      </c>
      <c r="AX16" s="9">
        <v>0</v>
      </c>
      <c r="AY16" s="9">
        <v>3</v>
      </c>
      <c r="AZ16" s="9">
        <v>3</v>
      </c>
      <c r="BA16" s="9">
        <v>0</v>
      </c>
      <c r="BB16" s="9">
        <v>3</v>
      </c>
      <c r="BC16" s="9">
        <v>3</v>
      </c>
      <c r="BD16" s="9">
        <v>0</v>
      </c>
      <c r="BE16" s="9">
        <v>3</v>
      </c>
      <c r="BF16" s="9">
        <v>3</v>
      </c>
      <c r="BG16" s="9">
        <v>0</v>
      </c>
      <c r="BH16" s="9">
        <v>3</v>
      </c>
      <c r="BI16" s="9">
        <v>3</v>
      </c>
      <c r="BJ16" s="9">
        <v>0</v>
      </c>
      <c r="BK16" s="9">
        <v>3</v>
      </c>
      <c r="BL16" s="9">
        <v>3</v>
      </c>
      <c r="BM16" s="9">
        <v>0</v>
      </c>
      <c r="BN16" s="9">
        <v>3</v>
      </c>
      <c r="BO16" s="9">
        <v>3</v>
      </c>
      <c r="BP16" s="9">
        <v>0</v>
      </c>
    </row>
    <row r="17" spans="1:68">
      <c r="A17" s="346" t="s">
        <v>551</v>
      </c>
      <c r="B17" s="8" t="s">
        <v>552</v>
      </c>
      <c r="C17" s="8">
        <v>3</v>
      </c>
      <c r="D17" s="8">
        <v>3</v>
      </c>
      <c r="E17" s="9">
        <v>0</v>
      </c>
      <c r="F17" s="8">
        <v>3</v>
      </c>
      <c r="G17" s="8">
        <v>3</v>
      </c>
      <c r="H17" s="9">
        <v>0</v>
      </c>
      <c r="I17" s="9">
        <v>3</v>
      </c>
      <c r="J17" s="9">
        <v>3</v>
      </c>
      <c r="K17" s="9">
        <v>0</v>
      </c>
      <c r="L17" s="9">
        <v>3</v>
      </c>
      <c r="M17" s="9">
        <v>3</v>
      </c>
      <c r="N17" s="9">
        <v>0</v>
      </c>
      <c r="O17" s="9">
        <v>3</v>
      </c>
      <c r="P17" s="9">
        <v>3</v>
      </c>
      <c r="Q17" s="9">
        <v>0</v>
      </c>
      <c r="R17" s="9">
        <v>3</v>
      </c>
      <c r="S17" s="9">
        <v>3</v>
      </c>
      <c r="T17" s="9">
        <v>0</v>
      </c>
      <c r="U17" s="9">
        <v>3</v>
      </c>
      <c r="V17" s="9">
        <v>3</v>
      </c>
      <c r="W17" s="9">
        <v>0</v>
      </c>
      <c r="X17" s="9">
        <v>3</v>
      </c>
      <c r="Y17" s="9">
        <v>3</v>
      </c>
      <c r="Z17" s="9">
        <v>0</v>
      </c>
      <c r="AA17" s="9">
        <v>3</v>
      </c>
      <c r="AB17" s="9">
        <v>3</v>
      </c>
      <c r="AC17" s="9">
        <v>0</v>
      </c>
      <c r="AD17" s="9">
        <v>3</v>
      </c>
      <c r="AE17" s="9">
        <v>3</v>
      </c>
      <c r="AF17" s="9">
        <v>0</v>
      </c>
      <c r="AG17" s="9">
        <v>3</v>
      </c>
      <c r="AH17" s="9">
        <v>3</v>
      </c>
      <c r="AI17" s="9">
        <v>0</v>
      </c>
      <c r="AJ17" s="9">
        <v>3</v>
      </c>
      <c r="AK17" s="9">
        <v>3</v>
      </c>
      <c r="AL17" s="9">
        <v>0</v>
      </c>
      <c r="AM17" s="9">
        <v>3</v>
      </c>
      <c r="AN17" s="9">
        <v>3</v>
      </c>
      <c r="AO17" s="9">
        <v>0</v>
      </c>
      <c r="AP17" s="9">
        <v>3</v>
      </c>
      <c r="AQ17" s="9">
        <v>3</v>
      </c>
      <c r="AR17" s="9">
        <v>0</v>
      </c>
      <c r="AS17" s="9">
        <v>3</v>
      </c>
      <c r="AT17" s="9">
        <v>3</v>
      </c>
      <c r="AU17" s="9">
        <v>0</v>
      </c>
      <c r="AV17" s="9">
        <v>3</v>
      </c>
      <c r="AW17" s="9">
        <v>3</v>
      </c>
      <c r="AX17" s="9">
        <v>0</v>
      </c>
      <c r="AY17" s="9">
        <v>3</v>
      </c>
      <c r="AZ17" s="9">
        <v>3</v>
      </c>
      <c r="BA17" s="9">
        <v>0</v>
      </c>
      <c r="BB17" s="9">
        <v>3</v>
      </c>
      <c r="BC17" s="9">
        <v>3</v>
      </c>
      <c r="BD17" s="9">
        <v>0</v>
      </c>
      <c r="BE17" s="9">
        <v>3</v>
      </c>
      <c r="BF17" s="9">
        <v>3</v>
      </c>
      <c r="BG17" s="9">
        <v>0</v>
      </c>
      <c r="BH17" s="9">
        <v>3</v>
      </c>
      <c r="BI17" s="9">
        <v>3</v>
      </c>
      <c r="BJ17" s="9">
        <v>0</v>
      </c>
      <c r="BK17" s="9">
        <v>3</v>
      </c>
      <c r="BL17" s="9">
        <v>3</v>
      </c>
      <c r="BM17" s="9">
        <v>0</v>
      </c>
      <c r="BN17" s="9">
        <v>3</v>
      </c>
      <c r="BO17" s="9">
        <v>3</v>
      </c>
      <c r="BP17" s="9">
        <v>0</v>
      </c>
    </row>
    <row r="18" spans="1:68">
      <c r="A18" s="347"/>
      <c r="B18" s="8" t="s">
        <v>553</v>
      </c>
      <c r="C18" s="8">
        <v>0</v>
      </c>
      <c r="D18" s="8">
        <v>0</v>
      </c>
      <c r="E18" s="9">
        <v>0</v>
      </c>
      <c r="F18" s="8">
        <v>0</v>
      </c>
      <c r="G18" s="8">
        <v>0</v>
      </c>
      <c r="H18" s="9">
        <v>0</v>
      </c>
      <c r="I18" s="8">
        <v>0</v>
      </c>
      <c r="J18" s="8">
        <v>0</v>
      </c>
      <c r="K18" s="9">
        <v>0</v>
      </c>
      <c r="L18" s="8">
        <v>0</v>
      </c>
      <c r="M18" s="8">
        <v>0</v>
      </c>
      <c r="N18" s="9">
        <v>0</v>
      </c>
      <c r="O18" s="8">
        <v>0</v>
      </c>
      <c r="P18" s="8">
        <v>0</v>
      </c>
      <c r="Q18" s="9">
        <v>0</v>
      </c>
      <c r="R18" s="9">
        <v>3</v>
      </c>
      <c r="S18" s="9">
        <v>3</v>
      </c>
      <c r="T18" s="9">
        <v>0</v>
      </c>
      <c r="U18" s="8">
        <v>0</v>
      </c>
      <c r="V18" s="8">
        <v>0</v>
      </c>
      <c r="W18" s="9">
        <v>0</v>
      </c>
      <c r="X18" s="9">
        <v>3</v>
      </c>
      <c r="Y18" s="9">
        <v>3</v>
      </c>
      <c r="Z18" s="9">
        <v>0</v>
      </c>
      <c r="AA18" s="8">
        <v>0</v>
      </c>
      <c r="AB18" s="8">
        <v>0</v>
      </c>
      <c r="AC18" s="9">
        <v>0</v>
      </c>
      <c r="AD18" s="8">
        <v>0</v>
      </c>
      <c r="AE18" s="8">
        <v>0</v>
      </c>
      <c r="AF18" s="9">
        <v>0</v>
      </c>
      <c r="AG18" s="8">
        <v>0</v>
      </c>
      <c r="AH18" s="8">
        <v>0</v>
      </c>
      <c r="AI18" s="9">
        <v>0</v>
      </c>
      <c r="AJ18" s="8">
        <v>0</v>
      </c>
      <c r="AK18" s="8">
        <v>0</v>
      </c>
      <c r="AL18" s="9">
        <v>0</v>
      </c>
      <c r="AM18" s="8">
        <v>0</v>
      </c>
      <c r="AN18" s="8">
        <v>0</v>
      </c>
      <c r="AO18" s="9">
        <v>0</v>
      </c>
      <c r="AP18" s="8">
        <v>0</v>
      </c>
      <c r="AQ18" s="8">
        <v>0</v>
      </c>
      <c r="AR18" s="9">
        <v>0</v>
      </c>
      <c r="AS18" s="8">
        <v>0</v>
      </c>
      <c r="AT18" s="8">
        <v>0</v>
      </c>
      <c r="AU18" s="9">
        <v>0</v>
      </c>
      <c r="AV18" s="8">
        <v>0</v>
      </c>
      <c r="AW18" s="8">
        <v>0</v>
      </c>
      <c r="AX18" s="9">
        <v>0</v>
      </c>
      <c r="AY18" s="8">
        <v>0</v>
      </c>
      <c r="AZ18" s="8">
        <v>0</v>
      </c>
      <c r="BA18" s="9">
        <v>0</v>
      </c>
      <c r="BB18" s="8">
        <v>0</v>
      </c>
      <c r="BC18" s="8">
        <v>0</v>
      </c>
      <c r="BD18" s="9">
        <v>0</v>
      </c>
      <c r="BE18" s="8">
        <v>0</v>
      </c>
      <c r="BF18" s="8">
        <v>0</v>
      </c>
      <c r="BG18" s="9">
        <v>0</v>
      </c>
      <c r="BH18" s="8">
        <v>0</v>
      </c>
      <c r="BI18" s="8">
        <v>0</v>
      </c>
      <c r="BJ18" s="9">
        <v>0</v>
      </c>
      <c r="BK18" s="8">
        <v>0</v>
      </c>
      <c r="BL18" s="8">
        <v>0</v>
      </c>
      <c r="BM18" s="9">
        <v>0</v>
      </c>
      <c r="BN18" s="8">
        <v>0</v>
      </c>
      <c r="BO18" s="8">
        <v>0</v>
      </c>
      <c r="BP18" s="9">
        <v>0</v>
      </c>
    </row>
    <row r="19" spans="1:68">
      <c r="A19" s="347"/>
      <c r="B19" s="8" t="s">
        <v>554</v>
      </c>
      <c r="C19" s="8">
        <v>3</v>
      </c>
      <c r="D19" s="8">
        <v>3</v>
      </c>
      <c r="E19" s="9">
        <v>0</v>
      </c>
      <c r="F19" s="8">
        <v>3</v>
      </c>
      <c r="G19" s="8">
        <v>3</v>
      </c>
      <c r="H19" s="9">
        <v>0</v>
      </c>
      <c r="I19" s="8">
        <v>3</v>
      </c>
      <c r="J19" s="8">
        <v>3</v>
      </c>
      <c r="K19" s="9">
        <v>0</v>
      </c>
      <c r="L19" s="8">
        <v>3</v>
      </c>
      <c r="M19" s="8">
        <v>3</v>
      </c>
      <c r="N19" s="9">
        <v>0</v>
      </c>
      <c r="O19" s="8">
        <v>3</v>
      </c>
      <c r="P19" s="8">
        <v>3</v>
      </c>
      <c r="Q19" s="9">
        <v>0</v>
      </c>
      <c r="R19" s="8">
        <v>3</v>
      </c>
      <c r="S19" s="8">
        <v>3</v>
      </c>
      <c r="T19" s="9">
        <v>0</v>
      </c>
      <c r="U19" s="8">
        <v>3</v>
      </c>
      <c r="V19" s="8">
        <v>3</v>
      </c>
      <c r="W19" s="9">
        <v>0</v>
      </c>
      <c r="X19" s="8">
        <v>3</v>
      </c>
      <c r="Y19" s="8">
        <v>3</v>
      </c>
      <c r="Z19" s="9">
        <v>0</v>
      </c>
      <c r="AA19" s="8">
        <v>3</v>
      </c>
      <c r="AB19" s="8">
        <v>3</v>
      </c>
      <c r="AC19" s="9">
        <v>0</v>
      </c>
      <c r="AD19" s="8">
        <v>3</v>
      </c>
      <c r="AE19" s="8">
        <v>3</v>
      </c>
      <c r="AF19" s="9">
        <v>0</v>
      </c>
      <c r="AG19" s="8">
        <v>3</v>
      </c>
      <c r="AH19" s="8">
        <v>3</v>
      </c>
      <c r="AI19" s="9">
        <v>0</v>
      </c>
      <c r="AJ19" s="8">
        <v>3</v>
      </c>
      <c r="AK19" s="8">
        <v>3</v>
      </c>
      <c r="AL19" s="9">
        <v>0</v>
      </c>
      <c r="AM19" s="8">
        <v>3</v>
      </c>
      <c r="AN19" s="8">
        <v>3</v>
      </c>
      <c r="AO19" s="9">
        <v>0</v>
      </c>
      <c r="AP19" s="8">
        <v>3</v>
      </c>
      <c r="AQ19" s="8">
        <v>3</v>
      </c>
      <c r="AR19" s="9">
        <v>0</v>
      </c>
      <c r="AS19" s="8">
        <v>3</v>
      </c>
      <c r="AT19" s="8">
        <v>3</v>
      </c>
      <c r="AU19" s="9">
        <v>0</v>
      </c>
      <c r="AV19" s="8">
        <v>3</v>
      </c>
      <c r="AW19" s="8">
        <v>3</v>
      </c>
      <c r="AX19" s="9">
        <v>0</v>
      </c>
      <c r="AY19" s="8">
        <v>3</v>
      </c>
      <c r="AZ19" s="8">
        <v>3</v>
      </c>
      <c r="BA19" s="9">
        <v>0</v>
      </c>
      <c r="BB19" s="8">
        <v>3</v>
      </c>
      <c r="BC19" s="8">
        <v>3</v>
      </c>
      <c r="BD19" s="9">
        <v>0</v>
      </c>
      <c r="BE19" s="8">
        <v>3</v>
      </c>
      <c r="BF19" s="8">
        <v>3</v>
      </c>
      <c r="BG19" s="9">
        <v>0</v>
      </c>
      <c r="BH19" s="8">
        <v>3</v>
      </c>
      <c r="BI19" s="8">
        <v>3</v>
      </c>
      <c r="BJ19" s="9">
        <v>0</v>
      </c>
      <c r="BK19" s="8">
        <v>3</v>
      </c>
      <c r="BL19" s="8">
        <v>3</v>
      </c>
      <c r="BM19" s="9">
        <v>0</v>
      </c>
      <c r="BN19" s="8">
        <v>3</v>
      </c>
      <c r="BO19" s="8">
        <v>3</v>
      </c>
      <c r="BP19" s="9">
        <v>0</v>
      </c>
    </row>
    <row r="20" spans="1:68">
      <c r="A20" s="347"/>
      <c r="B20" s="8" t="s">
        <v>555</v>
      </c>
      <c r="C20" s="8">
        <v>3</v>
      </c>
      <c r="D20" s="8">
        <v>3</v>
      </c>
      <c r="E20" s="9">
        <v>0</v>
      </c>
      <c r="F20" s="8">
        <v>3</v>
      </c>
      <c r="G20" s="8">
        <v>3</v>
      </c>
      <c r="H20" s="9">
        <v>0</v>
      </c>
      <c r="I20" s="9">
        <v>3</v>
      </c>
      <c r="J20" s="9">
        <v>3</v>
      </c>
      <c r="K20" s="9">
        <v>0</v>
      </c>
      <c r="L20" s="9">
        <v>3</v>
      </c>
      <c r="M20" s="9">
        <v>3</v>
      </c>
      <c r="N20" s="9">
        <v>0</v>
      </c>
      <c r="O20" s="9">
        <v>3</v>
      </c>
      <c r="P20" s="9">
        <v>3</v>
      </c>
      <c r="Q20" s="9">
        <v>0</v>
      </c>
      <c r="R20" s="9">
        <v>3</v>
      </c>
      <c r="S20" s="9">
        <v>3</v>
      </c>
      <c r="T20" s="9">
        <v>0</v>
      </c>
      <c r="U20" s="9">
        <v>3</v>
      </c>
      <c r="V20" s="9">
        <v>3</v>
      </c>
      <c r="W20" s="9">
        <v>0</v>
      </c>
      <c r="X20" s="9">
        <v>3</v>
      </c>
      <c r="Y20" s="9">
        <v>3</v>
      </c>
      <c r="Z20" s="9">
        <v>0</v>
      </c>
      <c r="AA20" s="9">
        <v>3</v>
      </c>
      <c r="AB20" s="9">
        <v>3</v>
      </c>
      <c r="AC20" s="9">
        <v>0</v>
      </c>
      <c r="AD20" s="9">
        <v>3</v>
      </c>
      <c r="AE20" s="9">
        <v>3</v>
      </c>
      <c r="AF20" s="9">
        <v>0</v>
      </c>
      <c r="AG20" s="8">
        <v>3</v>
      </c>
      <c r="AH20" s="8">
        <v>3</v>
      </c>
      <c r="AI20" s="9">
        <v>0</v>
      </c>
      <c r="AJ20" s="9">
        <v>3</v>
      </c>
      <c r="AK20" s="9">
        <v>3</v>
      </c>
      <c r="AL20" s="9">
        <v>0</v>
      </c>
      <c r="AM20" s="9">
        <v>3</v>
      </c>
      <c r="AN20" s="9">
        <v>3</v>
      </c>
      <c r="AO20" s="9">
        <v>0</v>
      </c>
      <c r="AP20" s="9">
        <v>3</v>
      </c>
      <c r="AQ20" s="9">
        <v>3</v>
      </c>
      <c r="AR20" s="9">
        <v>0</v>
      </c>
      <c r="AS20" s="9">
        <v>3</v>
      </c>
      <c r="AT20" s="9">
        <v>3</v>
      </c>
      <c r="AU20" s="9">
        <v>0</v>
      </c>
      <c r="AV20" s="9">
        <v>3</v>
      </c>
      <c r="AW20" s="9">
        <v>3</v>
      </c>
      <c r="AX20" s="9">
        <v>0</v>
      </c>
      <c r="AY20" s="9">
        <v>3</v>
      </c>
      <c r="AZ20" s="9">
        <v>3</v>
      </c>
      <c r="BA20" s="9">
        <v>0</v>
      </c>
      <c r="BB20" s="9">
        <v>3</v>
      </c>
      <c r="BC20" s="9">
        <v>3</v>
      </c>
      <c r="BD20" s="9">
        <v>0</v>
      </c>
      <c r="BE20" s="9">
        <v>3</v>
      </c>
      <c r="BF20" s="9">
        <v>3</v>
      </c>
      <c r="BG20" s="9">
        <v>0</v>
      </c>
      <c r="BH20" s="9">
        <v>3</v>
      </c>
      <c r="BI20" s="9">
        <v>3</v>
      </c>
      <c r="BJ20" s="9">
        <v>0</v>
      </c>
      <c r="BK20" s="9">
        <v>3</v>
      </c>
      <c r="BL20" s="9">
        <v>3</v>
      </c>
      <c r="BM20" s="9">
        <v>0</v>
      </c>
      <c r="BN20" s="9">
        <v>3</v>
      </c>
      <c r="BO20" s="9">
        <v>3</v>
      </c>
      <c r="BP20" s="9">
        <v>0</v>
      </c>
    </row>
    <row r="21" spans="1:68" ht="13.05" customHeight="1">
      <c r="A21" s="346" t="s">
        <v>556</v>
      </c>
      <c r="B21" s="10" t="s">
        <v>557</v>
      </c>
      <c r="C21" s="11">
        <v>3</v>
      </c>
      <c r="D21" s="8">
        <v>3</v>
      </c>
      <c r="E21" s="9">
        <v>0</v>
      </c>
      <c r="F21" s="8">
        <v>3</v>
      </c>
      <c r="G21" s="8">
        <v>3</v>
      </c>
      <c r="H21" s="9">
        <v>0</v>
      </c>
      <c r="I21" s="8">
        <v>4</v>
      </c>
      <c r="J21" s="8">
        <v>4</v>
      </c>
      <c r="K21" s="9">
        <v>0</v>
      </c>
      <c r="L21" s="8">
        <v>0</v>
      </c>
      <c r="M21" s="8">
        <v>0</v>
      </c>
      <c r="N21" s="9">
        <v>0</v>
      </c>
      <c r="O21" s="8">
        <v>0</v>
      </c>
      <c r="P21" s="8">
        <v>0</v>
      </c>
      <c r="Q21" s="9">
        <v>0</v>
      </c>
      <c r="R21" s="8">
        <v>3</v>
      </c>
      <c r="S21" s="8">
        <v>3</v>
      </c>
      <c r="T21" s="9">
        <v>0</v>
      </c>
      <c r="U21" s="8">
        <v>0</v>
      </c>
      <c r="V21" s="8">
        <v>0</v>
      </c>
      <c r="W21" s="9">
        <v>0</v>
      </c>
      <c r="X21" s="8">
        <v>3</v>
      </c>
      <c r="Y21" s="8">
        <v>3</v>
      </c>
      <c r="Z21" s="9">
        <v>0</v>
      </c>
      <c r="AA21" s="8">
        <v>4</v>
      </c>
      <c r="AB21" s="8">
        <v>4</v>
      </c>
      <c r="AC21" s="9">
        <v>0</v>
      </c>
      <c r="AD21" s="8">
        <v>3</v>
      </c>
      <c r="AE21" s="8">
        <v>3</v>
      </c>
      <c r="AF21" s="9">
        <v>0</v>
      </c>
      <c r="AG21" s="8">
        <v>3</v>
      </c>
      <c r="AH21" s="8">
        <v>3</v>
      </c>
      <c r="AI21" s="9">
        <v>0</v>
      </c>
      <c r="AJ21" s="8">
        <v>3</v>
      </c>
      <c r="AK21" s="8">
        <v>3</v>
      </c>
      <c r="AL21" s="9">
        <v>0</v>
      </c>
      <c r="AM21" s="8">
        <v>0</v>
      </c>
      <c r="AN21" s="8">
        <v>0</v>
      </c>
      <c r="AO21" s="9">
        <v>0</v>
      </c>
      <c r="AP21" s="8">
        <v>0</v>
      </c>
      <c r="AQ21" s="8">
        <v>0</v>
      </c>
      <c r="AR21" s="9">
        <v>0</v>
      </c>
      <c r="AS21" s="8">
        <v>0</v>
      </c>
      <c r="AT21" s="8">
        <v>0</v>
      </c>
      <c r="AU21" s="9">
        <v>0</v>
      </c>
      <c r="AV21" s="8">
        <v>0</v>
      </c>
      <c r="AW21" s="8">
        <v>0</v>
      </c>
      <c r="AX21" s="9">
        <v>0</v>
      </c>
      <c r="AY21" s="8">
        <v>0</v>
      </c>
      <c r="AZ21" s="8">
        <v>0</v>
      </c>
      <c r="BA21" s="9">
        <v>0</v>
      </c>
      <c r="BB21" s="8">
        <v>0</v>
      </c>
      <c r="BC21" s="8">
        <v>0</v>
      </c>
      <c r="BD21" s="9">
        <v>0</v>
      </c>
      <c r="BE21" s="8">
        <v>0</v>
      </c>
      <c r="BF21" s="8">
        <v>0</v>
      </c>
      <c r="BG21" s="9">
        <v>0</v>
      </c>
      <c r="BH21" s="8">
        <v>0</v>
      </c>
      <c r="BI21" s="8">
        <v>0</v>
      </c>
      <c r="BJ21" s="9">
        <v>0</v>
      </c>
      <c r="BK21" s="8">
        <v>0</v>
      </c>
      <c r="BL21" s="8">
        <v>0</v>
      </c>
      <c r="BM21" s="9">
        <v>0</v>
      </c>
      <c r="BN21" s="8">
        <v>0</v>
      </c>
      <c r="BO21" s="8">
        <v>0</v>
      </c>
      <c r="BP21" s="9">
        <v>0</v>
      </c>
    </row>
    <row r="22" spans="1:68">
      <c r="A22" s="349"/>
      <c r="B22" s="12" t="s">
        <v>558</v>
      </c>
      <c r="C22" s="11">
        <v>0</v>
      </c>
      <c r="D22" s="8">
        <v>0</v>
      </c>
      <c r="E22" s="9">
        <f>D33-C33</f>
        <v>0</v>
      </c>
      <c r="F22" s="8">
        <v>3</v>
      </c>
      <c r="G22" s="8">
        <v>3</v>
      </c>
      <c r="H22" s="8">
        <v>0</v>
      </c>
      <c r="I22" s="8">
        <v>4</v>
      </c>
      <c r="J22" s="8">
        <v>4</v>
      </c>
      <c r="K22" s="8">
        <v>0</v>
      </c>
      <c r="L22" s="13">
        <v>0</v>
      </c>
      <c r="M22" s="13">
        <v>0</v>
      </c>
      <c r="N22" s="8">
        <v>0</v>
      </c>
      <c r="O22" s="8">
        <v>3</v>
      </c>
      <c r="P22" s="8">
        <v>3</v>
      </c>
      <c r="Q22" s="8">
        <v>0</v>
      </c>
      <c r="R22" s="9">
        <v>3</v>
      </c>
      <c r="S22" s="9">
        <v>3</v>
      </c>
      <c r="T22" s="9">
        <v>0</v>
      </c>
      <c r="U22" s="9">
        <v>3</v>
      </c>
      <c r="V22" s="9">
        <v>3</v>
      </c>
      <c r="W22" s="9">
        <v>0</v>
      </c>
      <c r="X22" s="9">
        <v>3</v>
      </c>
      <c r="Y22" s="9">
        <v>3</v>
      </c>
      <c r="Z22" s="9">
        <v>0</v>
      </c>
      <c r="AA22" s="8">
        <v>4</v>
      </c>
      <c r="AB22" s="8">
        <v>4</v>
      </c>
      <c r="AC22" s="8">
        <v>0</v>
      </c>
      <c r="AD22" s="8">
        <v>3</v>
      </c>
      <c r="AE22" s="8">
        <v>3</v>
      </c>
      <c r="AF22" s="9">
        <v>0</v>
      </c>
      <c r="AG22" s="8">
        <v>3</v>
      </c>
      <c r="AH22" s="8">
        <v>3</v>
      </c>
      <c r="AI22" s="9">
        <v>0</v>
      </c>
      <c r="AJ22" s="8">
        <v>3</v>
      </c>
      <c r="AK22" s="8">
        <v>3</v>
      </c>
      <c r="AL22" s="9">
        <v>0</v>
      </c>
      <c r="AM22" s="8">
        <v>3</v>
      </c>
      <c r="AN22" s="8">
        <v>3</v>
      </c>
      <c r="AO22" s="9">
        <v>0</v>
      </c>
      <c r="AP22" s="8">
        <v>3</v>
      </c>
      <c r="AQ22" s="8">
        <v>3</v>
      </c>
      <c r="AR22" s="9">
        <v>0</v>
      </c>
      <c r="AS22" s="8">
        <v>3</v>
      </c>
      <c r="AT22" s="8">
        <v>3</v>
      </c>
      <c r="AU22" s="9">
        <v>0</v>
      </c>
      <c r="AV22" s="8">
        <v>3</v>
      </c>
      <c r="AW22" s="8">
        <v>3</v>
      </c>
      <c r="AX22" s="8">
        <v>0</v>
      </c>
      <c r="AY22" s="8">
        <v>3</v>
      </c>
      <c r="AZ22" s="8">
        <v>3</v>
      </c>
      <c r="BA22" s="8">
        <v>0</v>
      </c>
      <c r="BB22" s="8">
        <v>3</v>
      </c>
      <c r="BC22" s="8">
        <v>3</v>
      </c>
      <c r="BD22" s="9">
        <v>0</v>
      </c>
      <c r="BE22" s="8">
        <v>3</v>
      </c>
      <c r="BF22" s="8">
        <v>3</v>
      </c>
      <c r="BG22" s="9">
        <v>0</v>
      </c>
      <c r="BH22" s="8">
        <v>3</v>
      </c>
      <c r="BI22" s="8">
        <v>3</v>
      </c>
      <c r="BJ22" s="9">
        <v>0</v>
      </c>
      <c r="BK22" s="8">
        <v>3</v>
      </c>
      <c r="BL22" s="8">
        <v>3</v>
      </c>
      <c r="BM22" s="9">
        <v>0</v>
      </c>
      <c r="BN22" s="8">
        <v>3</v>
      </c>
      <c r="BO22" s="8">
        <v>3</v>
      </c>
      <c r="BP22" s="9">
        <v>0</v>
      </c>
    </row>
    <row r="23" spans="1:68">
      <c r="A23" s="347"/>
      <c r="B23" s="12" t="s">
        <v>559</v>
      </c>
      <c r="C23" s="11">
        <v>0</v>
      </c>
      <c r="D23" s="8">
        <v>0</v>
      </c>
      <c r="E23" s="9">
        <v>0</v>
      </c>
      <c r="F23" s="11">
        <v>0</v>
      </c>
      <c r="G23" s="8">
        <v>0</v>
      </c>
      <c r="H23" s="9">
        <v>0</v>
      </c>
      <c r="I23" s="8">
        <v>4</v>
      </c>
      <c r="J23" s="8">
        <v>4</v>
      </c>
      <c r="K23" s="9">
        <v>0</v>
      </c>
      <c r="L23" s="13">
        <v>0</v>
      </c>
      <c r="M23" s="13">
        <v>0</v>
      </c>
      <c r="N23" s="9">
        <v>0</v>
      </c>
      <c r="O23" s="9">
        <v>3</v>
      </c>
      <c r="P23" s="9">
        <v>3</v>
      </c>
      <c r="Q23" s="9">
        <v>0</v>
      </c>
      <c r="R23" s="8">
        <v>3</v>
      </c>
      <c r="S23" s="8">
        <v>3</v>
      </c>
      <c r="T23" s="9">
        <v>0</v>
      </c>
      <c r="U23" s="9">
        <v>3</v>
      </c>
      <c r="V23" s="9">
        <v>3</v>
      </c>
      <c r="W23" s="9">
        <v>0</v>
      </c>
      <c r="X23" s="8">
        <v>3</v>
      </c>
      <c r="Y23" s="8">
        <v>3</v>
      </c>
      <c r="Z23" s="9">
        <v>0</v>
      </c>
      <c r="AA23" s="8">
        <v>4</v>
      </c>
      <c r="AB23" s="8">
        <v>4</v>
      </c>
      <c r="AC23" s="9">
        <v>0</v>
      </c>
      <c r="AD23" s="8">
        <v>3</v>
      </c>
      <c r="AE23" s="8">
        <v>3</v>
      </c>
      <c r="AF23" s="9">
        <v>0</v>
      </c>
      <c r="AG23" s="8">
        <v>3</v>
      </c>
      <c r="AH23" s="8">
        <v>3</v>
      </c>
      <c r="AI23" s="9">
        <v>0</v>
      </c>
      <c r="AJ23" s="8">
        <v>3</v>
      </c>
      <c r="AK23" s="8">
        <v>3</v>
      </c>
      <c r="AL23" s="9">
        <v>0</v>
      </c>
      <c r="AM23" s="9">
        <v>3</v>
      </c>
      <c r="AN23" s="9">
        <v>3</v>
      </c>
      <c r="AO23" s="9">
        <v>0</v>
      </c>
      <c r="AP23" s="9">
        <v>3</v>
      </c>
      <c r="AQ23" s="9">
        <v>3</v>
      </c>
      <c r="AR23" s="9">
        <v>0</v>
      </c>
      <c r="AS23" s="9">
        <v>3</v>
      </c>
      <c r="AT23" s="9">
        <v>3</v>
      </c>
      <c r="AU23" s="9">
        <v>0</v>
      </c>
      <c r="AV23" s="9">
        <v>3</v>
      </c>
      <c r="AW23" s="9">
        <v>3</v>
      </c>
      <c r="AX23" s="9">
        <v>0</v>
      </c>
      <c r="AY23" s="9">
        <v>3</v>
      </c>
      <c r="AZ23" s="9">
        <v>3</v>
      </c>
      <c r="BA23" s="9">
        <v>0</v>
      </c>
      <c r="BB23" s="9">
        <v>3</v>
      </c>
      <c r="BC23" s="9">
        <v>3</v>
      </c>
      <c r="BD23" s="9">
        <v>0</v>
      </c>
      <c r="BE23" s="9">
        <v>3</v>
      </c>
      <c r="BF23" s="9">
        <v>3</v>
      </c>
      <c r="BG23" s="9">
        <v>0</v>
      </c>
      <c r="BH23" s="9">
        <v>3</v>
      </c>
      <c r="BI23" s="9">
        <v>3</v>
      </c>
      <c r="BJ23" s="9">
        <v>0</v>
      </c>
      <c r="BK23" s="9">
        <v>3</v>
      </c>
      <c r="BL23" s="9">
        <v>3</v>
      </c>
      <c r="BM23" s="9">
        <v>0</v>
      </c>
      <c r="BN23" s="9">
        <v>3</v>
      </c>
      <c r="BO23" s="9">
        <v>3</v>
      </c>
      <c r="BP23" s="9">
        <v>0</v>
      </c>
    </row>
    <row r="24" spans="1:68">
      <c r="A24" s="347"/>
      <c r="B24" s="12" t="s">
        <v>560</v>
      </c>
      <c r="C24" s="11">
        <v>0</v>
      </c>
      <c r="D24" s="8">
        <v>0</v>
      </c>
      <c r="E24" s="9">
        <v>0</v>
      </c>
      <c r="F24" s="11">
        <v>0</v>
      </c>
      <c r="G24" s="8">
        <v>0</v>
      </c>
      <c r="H24" s="9">
        <v>0</v>
      </c>
      <c r="I24" s="8">
        <v>4</v>
      </c>
      <c r="J24" s="8">
        <v>4</v>
      </c>
      <c r="K24" s="9">
        <v>0</v>
      </c>
      <c r="L24" s="13">
        <v>0</v>
      </c>
      <c r="M24" s="13">
        <v>0</v>
      </c>
      <c r="N24" s="9">
        <v>0</v>
      </c>
      <c r="O24" s="9">
        <v>3</v>
      </c>
      <c r="P24" s="9">
        <v>3</v>
      </c>
      <c r="Q24" s="9">
        <v>0</v>
      </c>
      <c r="R24" s="9">
        <v>3</v>
      </c>
      <c r="S24" s="9">
        <v>3</v>
      </c>
      <c r="T24" s="9">
        <v>0</v>
      </c>
      <c r="U24" s="9">
        <v>3</v>
      </c>
      <c r="V24" s="9">
        <v>3</v>
      </c>
      <c r="W24" s="9">
        <v>0</v>
      </c>
      <c r="X24" s="9">
        <v>3</v>
      </c>
      <c r="Y24" s="9">
        <v>3</v>
      </c>
      <c r="Z24" s="9">
        <v>0</v>
      </c>
      <c r="AA24" s="8">
        <v>4</v>
      </c>
      <c r="AB24" s="8">
        <v>4</v>
      </c>
      <c r="AC24" s="9">
        <v>0</v>
      </c>
      <c r="AD24" s="8">
        <v>3</v>
      </c>
      <c r="AE24" s="8">
        <v>3</v>
      </c>
      <c r="AF24" s="9">
        <v>0</v>
      </c>
      <c r="AG24" s="8">
        <v>3</v>
      </c>
      <c r="AH24" s="8">
        <v>3</v>
      </c>
      <c r="AI24" s="9">
        <v>0</v>
      </c>
      <c r="AJ24" s="8">
        <v>3</v>
      </c>
      <c r="AK24" s="8">
        <v>3</v>
      </c>
      <c r="AL24" s="9">
        <v>0</v>
      </c>
      <c r="AM24" s="9">
        <v>3</v>
      </c>
      <c r="AN24" s="9">
        <v>3</v>
      </c>
      <c r="AO24" s="9">
        <v>0</v>
      </c>
      <c r="AP24" s="9">
        <v>3</v>
      </c>
      <c r="AQ24" s="9">
        <v>3</v>
      </c>
      <c r="AR24" s="9">
        <v>0</v>
      </c>
      <c r="AS24" s="9">
        <v>3</v>
      </c>
      <c r="AT24" s="9">
        <v>3</v>
      </c>
      <c r="AU24" s="9">
        <v>0</v>
      </c>
      <c r="AV24" s="9">
        <v>3</v>
      </c>
      <c r="AW24" s="9">
        <v>3</v>
      </c>
      <c r="AX24" s="9">
        <v>0</v>
      </c>
      <c r="AY24" s="9">
        <v>3</v>
      </c>
      <c r="AZ24" s="9">
        <v>3</v>
      </c>
      <c r="BA24" s="9">
        <v>0</v>
      </c>
      <c r="BB24" s="9">
        <v>3</v>
      </c>
      <c r="BC24" s="9">
        <v>3</v>
      </c>
      <c r="BD24" s="9">
        <v>0</v>
      </c>
      <c r="BE24" s="9">
        <v>3</v>
      </c>
      <c r="BF24" s="9">
        <v>3</v>
      </c>
      <c r="BG24" s="9">
        <v>0</v>
      </c>
      <c r="BH24" s="9">
        <v>3</v>
      </c>
      <c r="BI24" s="9">
        <v>3</v>
      </c>
      <c r="BJ24" s="9">
        <v>0</v>
      </c>
      <c r="BK24" s="9">
        <v>3</v>
      </c>
      <c r="BL24" s="9">
        <v>3</v>
      </c>
      <c r="BM24" s="9">
        <v>0</v>
      </c>
      <c r="BN24" s="9">
        <v>3</v>
      </c>
      <c r="BO24" s="9">
        <v>3</v>
      </c>
      <c r="BP24" s="9">
        <v>0</v>
      </c>
    </row>
    <row r="25" spans="1:68">
      <c r="A25" s="347"/>
      <c r="B25" s="12" t="s">
        <v>473</v>
      </c>
      <c r="C25" s="11">
        <v>0</v>
      </c>
      <c r="D25" s="8">
        <v>0</v>
      </c>
      <c r="E25" s="9">
        <v>0</v>
      </c>
      <c r="F25" s="11">
        <v>0</v>
      </c>
      <c r="G25" s="8">
        <v>0</v>
      </c>
      <c r="H25" s="9">
        <v>0</v>
      </c>
      <c r="I25" s="8">
        <v>4</v>
      </c>
      <c r="J25" s="8">
        <v>4</v>
      </c>
      <c r="K25" s="9">
        <v>0</v>
      </c>
      <c r="L25" s="13">
        <v>0</v>
      </c>
      <c r="M25" s="13">
        <v>0</v>
      </c>
      <c r="N25" s="9">
        <v>0</v>
      </c>
      <c r="O25" s="9">
        <v>3</v>
      </c>
      <c r="P25" s="9">
        <v>3</v>
      </c>
      <c r="Q25" s="9">
        <v>0</v>
      </c>
      <c r="R25" s="8">
        <v>3</v>
      </c>
      <c r="S25" s="8">
        <v>3</v>
      </c>
      <c r="T25" s="9">
        <v>0</v>
      </c>
      <c r="U25" s="9">
        <v>3</v>
      </c>
      <c r="V25" s="9">
        <v>3</v>
      </c>
      <c r="W25" s="9">
        <v>0</v>
      </c>
      <c r="X25" s="8">
        <v>3</v>
      </c>
      <c r="Y25" s="8">
        <v>3</v>
      </c>
      <c r="Z25" s="9">
        <v>0</v>
      </c>
      <c r="AA25" s="8">
        <v>4</v>
      </c>
      <c r="AB25" s="8">
        <v>4</v>
      </c>
      <c r="AC25" s="9">
        <v>0</v>
      </c>
      <c r="AD25" s="8">
        <v>3</v>
      </c>
      <c r="AE25" s="8">
        <v>3</v>
      </c>
      <c r="AF25" s="9">
        <v>0</v>
      </c>
      <c r="AG25" s="8">
        <v>3</v>
      </c>
      <c r="AH25" s="8">
        <v>3</v>
      </c>
      <c r="AI25" s="9">
        <v>0</v>
      </c>
      <c r="AJ25" s="8">
        <v>3</v>
      </c>
      <c r="AK25" s="8">
        <v>3</v>
      </c>
      <c r="AL25" s="9">
        <v>0</v>
      </c>
      <c r="AM25" s="9">
        <v>3</v>
      </c>
      <c r="AN25" s="9">
        <v>3</v>
      </c>
      <c r="AO25" s="9">
        <v>0</v>
      </c>
      <c r="AP25" s="9">
        <v>3</v>
      </c>
      <c r="AQ25" s="9">
        <v>3</v>
      </c>
      <c r="AR25" s="9">
        <v>0</v>
      </c>
      <c r="AS25" s="9">
        <v>3</v>
      </c>
      <c r="AT25" s="9">
        <v>3</v>
      </c>
      <c r="AU25" s="9">
        <v>0</v>
      </c>
      <c r="AV25" s="9">
        <v>3</v>
      </c>
      <c r="AW25" s="9">
        <v>3</v>
      </c>
      <c r="AX25" s="9">
        <v>0</v>
      </c>
      <c r="AY25" s="9">
        <v>3</v>
      </c>
      <c r="AZ25" s="9">
        <v>3</v>
      </c>
      <c r="BA25" s="9">
        <v>0</v>
      </c>
      <c r="BB25" s="9">
        <v>3</v>
      </c>
      <c r="BC25" s="9">
        <v>3</v>
      </c>
      <c r="BD25" s="9">
        <v>0</v>
      </c>
      <c r="BE25" s="9">
        <v>3</v>
      </c>
      <c r="BF25" s="9">
        <v>3</v>
      </c>
      <c r="BG25" s="9">
        <v>0</v>
      </c>
      <c r="BH25" s="9">
        <v>3</v>
      </c>
      <c r="BI25" s="9">
        <v>3</v>
      </c>
      <c r="BJ25" s="9">
        <v>0</v>
      </c>
      <c r="BK25" s="9">
        <v>3</v>
      </c>
      <c r="BL25" s="9">
        <v>3</v>
      </c>
      <c r="BM25" s="9">
        <v>0</v>
      </c>
      <c r="BN25" s="9">
        <v>3</v>
      </c>
      <c r="BO25" s="9">
        <v>3</v>
      </c>
      <c r="BP25" s="9">
        <v>0</v>
      </c>
    </row>
    <row r="26" spans="1:68">
      <c r="A26" s="347"/>
      <c r="B26" s="12" t="s">
        <v>561</v>
      </c>
      <c r="C26" s="11">
        <v>0</v>
      </c>
      <c r="D26" s="8">
        <v>0</v>
      </c>
      <c r="E26" s="9">
        <v>0</v>
      </c>
      <c r="F26" s="11">
        <v>0</v>
      </c>
      <c r="G26" s="8">
        <v>0</v>
      </c>
      <c r="H26" s="9">
        <v>0</v>
      </c>
      <c r="I26" s="8">
        <v>4</v>
      </c>
      <c r="J26" s="8">
        <v>4</v>
      </c>
      <c r="K26" s="9">
        <v>0</v>
      </c>
      <c r="L26" s="13">
        <v>0</v>
      </c>
      <c r="M26" s="13">
        <v>0</v>
      </c>
      <c r="N26" s="9">
        <v>0</v>
      </c>
      <c r="O26" s="9">
        <v>3</v>
      </c>
      <c r="P26" s="9">
        <v>3</v>
      </c>
      <c r="Q26" s="9">
        <v>0</v>
      </c>
      <c r="R26" s="9">
        <v>3</v>
      </c>
      <c r="S26" s="9">
        <v>3</v>
      </c>
      <c r="T26" s="9">
        <v>0</v>
      </c>
      <c r="U26" s="9">
        <v>3</v>
      </c>
      <c r="V26" s="9">
        <v>3</v>
      </c>
      <c r="W26" s="9">
        <v>0</v>
      </c>
      <c r="X26" s="9">
        <v>3</v>
      </c>
      <c r="Y26" s="9">
        <v>3</v>
      </c>
      <c r="Z26" s="9">
        <v>0</v>
      </c>
      <c r="AA26" s="8">
        <v>4</v>
      </c>
      <c r="AB26" s="8">
        <v>4</v>
      </c>
      <c r="AC26" s="9">
        <v>0</v>
      </c>
      <c r="AD26" s="8">
        <v>3</v>
      </c>
      <c r="AE26" s="8">
        <v>3</v>
      </c>
      <c r="AF26" s="9">
        <v>0</v>
      </c>
      <c r="AG26" s="8">
        <v>3</v>
      </c>
      <c r="AH26" s="8">
        <v>3</v>
      </c>
      <c r="AI26" s="9">
        <v>0</v>
      </c>
      <c r="AJ26" s="8">
        <v>3</v>
      </c>
      <c r="AK26" s="8">
        <v>3</v>
      </c>
      <c r="AL26" s="9">
        <v>0</v>
      </c>
      <c r="AM26" s="9">
        <v>3</v>
      </c>
      <c r="AN26" s="9">
        <v>3</v>
      </c>
      <c r="AO26" s="9">
        <v>0</v>
      </c>
      <c r="AP26" s="9">
        <v>3</v>
      </c>
      <c r="AQ26" s="9">
        <v>3</v>
      </c>
      <c r="AR26" s="9">
        <v>0</v>
      </c>
      <c r="AS26" s="9">
        <v>3</v>
      </c>
      <c r="AT26" s="9">
        <v>3</v>
      </c>
      <c r="AU26" s="9">
        <v>0</v>
      </c>
      <c r="AV26" s="9">
        <v>3</v>
      </c>
      <c r="AW26" s="9">
        <v>3</v>
      </c>
      <c r="AX26" s="9">
        <v>0</v>
      </c>
      <c r="AY26" s="9">
        <v>3</v>
      </c>
      <c r="AZ26" s="9">
        <v>3</v>
      </c>
      <c r="BA26" s="9">
        <v>0</v>
      </c>
      <c r="BB26" s="9">
        <v>3</v>
      </c>
      <c r="BC26" s="9">
        <v>3</v>
      </c>
      <c r="BD26" s="9">
        <v>0</v>
      </c>
      <c r="BE26" s="9">
        <v>3</v>
      </c>
      <c r="BF26" s="9">
        <v>3</v>
      </c>
      <c r="BG26" s="9">
        <v>0</v>
      </c>
      <c r="BH26" s="9">
        <v>3</v>
      </c>
      <c r="BI26" s="9">
        <v>3</v>
      </c>
      <c r="BJ26" s="9">
        <v>0</v>
      </c>
      <c r="BK26" s="9">
        <v>3</v>
      </c>
      <c r="BL26" s="9">
        <v>3</v>
      </c>
      <c r="BM26" s="9">
        <v>0</v>
      </c>
      <c r="BN26" s="9">
        <v>3</v>
      </c>
      <c r="BO26" s="9">
        <v>3</v>
      </c>
      <c r="BP26" s="9">
        <v>0</v>
      </c>
    </row>
    <row r="27" spans="1:68">
      <c r="A27" s="347"/>
      <c r="B27" s="12" t="s">
        <v>562</v>
      </c>
      <c r="C27" s="14">
        <v>0</v>
      </c>
      <c r="D27" s="15">
        <v>0</v>
      </c>
      <c r="E27" s="13">
        <v>0</v>
      </c>
      <c r="F27" s="15">
        <v>0</v>
      </c>
      <c r="G27" s="15">
        <v>0</v>
      </c>
      <c r="H27" s="13">
        <v>0</v>
      </c>
      <c r="I27" s="8">
        <v>4</v>
      </c>
      <c r="J27" s="8">
        <v>4</v>
      </c>
      <c r="K27" s="13">
        <v>0</v>
      </c>
      <c r="L27" s="13">
        <v>0</v>
      </c>
      <c r="M27" s="13">
        <v>0</v>
      </c>
      <c r="N27" s="13">
        <v>0</v>
      </c>
      <c r="O27" s="13">
        <v>3</v>
      </c>
      <c r="P27" s="13">
        <v>3</v>
      </c>
      <c r="Q27" s="13">
        <v>0</v>
      </c>
      <c r="R27" s="8">
        <v>3</v>
      </c>
      <c r="S27" s="8">
        <v>3</v>
      </c>
      <c r="T27" s="13">
        <v>0</v>
      </c>
      <c r="U27" s="13">
        <v>3</v>
      </c>
      <c r="V27" s="13">
        <v>3</v>
      </c>
      <c r="W27" s="13">
        <v>0</v>
      </c>
      <c r="X27" s="8">
        <v>3</v>
      </c>
      <c r="Y27" s="8">
        <v>3</v>
      </c>
      <c r="Z27" s="13">
        <v>0</v>
      </c>
      <c r="AA27" s="8">
        <v>4</v>
      </c>
      <c r="AB27" s="8">
        <v>4</v>
      </c>
      <c r="AC27" s="13">
        <v>0</v>
      </c>
      <c r="AD27" s="8">
        <v>3</v>
      </c>
      <c r="AE27" s="8">
        <v>3</v>
      </c>
      <c r="AF27" s="13">
        <v>0</v>
      </c>
      <c r="AG27" s="8">
        <v>3</v>
      </c>
      <c r="AH27" s="8">
        <v>3</v>
      </c>
      <c r="AI27" s="13">
        <v>0</v>
      </c>
      <c r="AJ27" s="8">
        <v>3</v>
      </c>
      <c r="AK27" s="8">
        <v>3</v>
      </c>
      <c r="AL27" s="13">
        <v>0</v>
      </c>
      <c r="AM27" s="13">
        <v>3</v>
      </c>
      <c r="AN27" s="13">
        <v>3</v>
      </c>
      <c r="AO27" s="13">
        <v>0</v>
      </c>
      <c r="AP27" s="13">
        <v>3</v>
      </c>
      <c r="AQ27" s="13">
        <v>3</v>
      </c>
      <c r="AR27" s="13">
        <v>0</v>
      </c>
      <c r="AS27" s="13">
        <v>3</v>
      </c>
      <c r="AT27" s="13">
        <v>3</v>
      </c>
      <c r="AU27" s="13">
        <v>0</v>
      </c>
      <c r="AV27" s="13">
        <v>3</v>
      </c>
      <c r="AW27" s="13">
        <v>3</v>
      </c>
      <c r="AX27" s="13">
        <v>0</v>
      </c>
      <c r="AY27" s="13">
        <v>0</v>
      </c>
      <c r="AZ27" s="13">
        <v>0</v>
      </c>
      <c r="BA27" s="13">
        <v>0</v>
      </c>
      <c r="BB27" s="13">
        <v>3</v>
      </c>
      <c r="BC27" s="13">
        <v>3</v>
      </c>
      <c r="BD27" s="13">
        <v>0</v>
      </c>
      <c r="BE27" s="13">
        <v>3</v>
      </c>
      <c r="BF27" s="13">
        <v>3</v>
      </c>
      <c r="BG27" s="13">
        <v>0</v>
      </c>
      <c r="BH27" s="13">
        <v>3</v>
      </c>
      <c r="BI27" s="13">
        <v>3</v>
      </c>
      <c r="BJ27" s="13">
        <v>0</v>
      </c>
      <c r="BK27" s="13">
        <v>3</v>
      </c>
      <c r="BL27" s="13">
        <v>3</v>
      </c>
      <c r="BM27" s="13">
        <v>0</v>
      </c>
      <c r="BN27" s="13">
        <v>3</v>
      </c>
      <c r="BO27" s="13">
        <v>3</v>
      </c>
      <c r="BP27" s="13">
        <v>0</v>
      </c>
    </row>
    <row r="28" spans="1:68" ht="14.4">
      <c r="A28" s="347"/>
      <c r="B28" s="12" t="s">
        <v>563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8">
        <v>4</v>
      </c>
      <c r="J28" s="8">
        <v>4</v>
      </c>
      <c r="K28" s="13">
        <v>0</v>
      </c>
      <c r="L28" s="17">
        <v>0</v>
      </c>
      <c r="M28" s="17">
        <v>0</v>
      </c>
      <c r="N28" s="13">
        <v>0</v>
      </c>
      <c r="O28" s="13">
        <v>0</v>
      </c>
      <c r="P28" s="13">
        <v>0</v>
      </c>
      <c r="Q28" s="13">
        <v>0</v>
      </c>
      <c r="R28" s="9">
        <v>3</v>
      </c>
      <c r="S28" s="9">
        <v>3</v>
      </c>
      <c r="T28" s="13">
        <v>0</v>
      </c>
      <c r="U28" s="13">
        <v>0</v>
      </c>
      <c r="V28" s="13">
        <v>0</v>
      </c>
      <c r="W28" s="13">
        <v>0</v>
      </c>
      <c r="X28" s="9">
        <v>3</v>
      </c>
      <c r="Y28" s="9">
        <v>3</v>
      </c>
      <c r="Z28" s="13">
        <v>0</v>
      </c>
      <c r="AA28" s="8">
        <v>4</v>
      </c>
      <c r="AB28" s="8">
        <v>4</v>
      </c>
      <c r="AC28" s="13">
        <v>0</v>
      </c>
      <c r="AD28" s="8">
        <v>3</v>
      </c>
      <c r="AE28" s="8">
        <v>3</v>
      </c>
      <c r="AF28" s="13">
        <v>0</v>
      </c>
      <c r="AG28" s="8">
        <v>3</v>
      </c>
      <c r="AH28" s="8">
        <v>3</v>
      </c>
      <c r="AI28" s="13">
        <v>0</v>
      </c>
      <c r="AJ28" s="8">
        <v>3</v>
      </c>
      <c r="AK28" s="8">
        <v>3</v>
      </c>
      <c r="AL28" s="13">
        <v>0</v>
      </c>
      <c r="AM28" s="17">
        <v>3</v>
      </c>
      <c r="AN28" s="17">
        <v>3</v>
      </c>
      <c r="AO28" s="13">
        <v>0</v>
      </c>
      <c r="AP28" s="17">
        <v>3</v>
      </c>
      <c r="AQ28" s="17">
        <v>3</v>
      </c>
      <c r="AR28" s="13">
        <v>0</v>
      </c>
      <c r="AS28" s="17">
        <v>3</v>
      </c>
      <c r="AT28" s="17">
        <v>3</v>
      </c>
      <c r="AU28" s="13">
        <v>0</v>
      </c>
      <c r="AV28" s="17">
        <v>3</v>
      </c>
      <c r="AW28" s="17">
        <v>3</v>
      </c>
      <c r="AX28" s="13">
        <v>0</v>
      </c>
      <c r="AY28" s="17">
        <v>3</v>
      </c>
      <c r="AZ28" s="17">
        <v>3</v>
      </c>
      <c r="BA28" s="13">
        <v>0</v>
      </c>
      <c r="BB28" s="17">
        <v>3</v>
      </c>
      <c r="BC28" s="17">
        <v>3</v>
      </c>
      <c r="BD28" s="13">
        <v>0</v>
      </c>
      <c r="BE28" s="17">
        <v>3</v>
      </c>
      <c r="BF28" s="17">
        <v>3</v>
      </c>
      <c r="BG28" s="17">
        <v>0</v>
      </c>
      <c r="BH28" s="17">
        <v>3</v>
      </c>
      <c r="BI28" s="17">
        <v>3</v>
      </c>
      <c r="BJ28" s="13">
        <v>0</v>
      </c>
      <c r="BK28" s="17">
        <v>3</v>
      </c>
      <c r="BL28" s="17">
        <v>3</v>
      </c>
      <c r="BM28" s="13">
        <v>0</v>
      </c>
      <c r="BN28" s="17">
        <v>3</v>
      </c>
      <c r="BO28" s="17">
        <v>3</v>
      </c>
      <c r="BP28" s="13">
        <v>0</v>
      </c>
    </row>
    <row r="29" spans="1:68">
      <c r="A29" s="347"/>
      <c r="B29" s="18" t="s">
        <v>564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8">
        <v>4</v>
      </c>
      <c r="J29" s="8">
        <v>4</v>
      </c>
      <c r="K29" s="13">
        <v>0</v>
      </c>
      <c r="L29" s="16">
        <v>3</v>
      </c>
      <c r="M29" s="16">
        <v>3</v>
      </c>
      <c r="N29" s="13">
        <v>0</v>
      </c>
      <c r="O29" s="13">
        <v>0</v>
      </c>
      <c r="P29" s="13">
        <v>0</v>
      </c>
      <c r="Q29" s="13">
        <v>0</v>
      </c>
      <c r="R29" s="8">
        <v>3</v>
      </c>
      <c r="S29" s="8">
        <v>3</v>
      </c>
      <c r="T29" s="13">
        <v>0</v>
      </c>
      <c r="U29" s="13">
        <v>0</v>
      </c>
      <c r="V29" s="13">
        <v>0</v>
      </c>
      <c r="W29" s="13">
        <v>0</v>
      </c>
      <c r="X29" s="8">
        <v>3</v>
      </c>
      <c r="Y29" s="8">
        <v>3</v>
      </c>
      <c r="Z29" s="13">
        <v>0</v>
      </c>
      <c r="AA29" s="8">
        <v>4</v>
      </c>
      <c r="AB29" s="8">
        <v>4</v>
      </c>
      <c r="AC29" s="13">
        <v>0</v>
      </c>
      <c r="AD29" s="8">
        <v>3</v>
      </c>
      <c r="AE29" s="8">
        <v>3</v>
      </c>
      <c r="AF29" s="13">
        <v>0</v>
      </c>
      <c r="AG29" s="8">
        <v>3</v>
      </c>
      <c r="AH29" s="8">
        <v>3</v>
      </c>
      <c r="AI29" s="13">
        <v>0</v>
      </c>
      <c r="AJ29" s="8">
        <v>3</v>
      </c>
      <c r="AK29" s="8">
        <v>3</v>
      </c>
      <c r="AL29" s="13">
        <v>0</v>
      </c>
      <c r="AM29" s="16">
        <v>3</v>
      </c>
      <c r="AN29" s="16">
        <v>3</v>
      </c>
      <c r="AO29" s="13">
        <v>0</v>
      </c>
      <c r="AP29" s="16">
        <v>3</v>
      </c>
      <c r="AQ29" s="16">
        <v>3</v>
      </c>
      <c r="AR29" s="17">
        <v>0</v>
      </c>
      <c r="AS29" s="16">
        <v>3</v>
      </c>
      <c r="AT29" s="16">
        <v>3</v>
      </c>
      <c r="AU29" s="17">
        <v>0</v>
      </c>
      <c r="AV29" s="16">
        <v>3</v>
      </c>
      <c r="AW29" s="16">
        <v>3</v>
      </c>
      <c r="AX29" s="17">
        <v>0</v>
      </c>
      <c r="AY29" s="16">
        <v>3</v>
      </c>
      <c r="AZ29" s="16">
        <v>3</v>
      </c>
      <c r="BA29" s="13">
        <v>0</v>
      </c>
      <c r="BB29" s="16">
        <v>3</v>
      </c>
      <c r="BC29" s="16">
        <v>3</v>
      </c>
      <c r="BD29" s="13">
        <v>0</v>
      </c>
      <c r="BE29" s="16">
        <v>3</v>
      </c>
      <c r="BF29" s="16">
        <v>3</v>
      </c>
      <c r="BG29" s="16">
        <v>0</v>
      </c>
      <c r="BH29" s="16">
        <v>3</v>
      </c>
      <c r="BI29" s="16">
        <v>3</v>
      </c>
      <c r="BJ29" s="13">
        <v>0</v>
      </c>
      <c r="BK29" s="16">
        <v>3</v>
      </c>
      <c r="BL29" s="16">
        <v>3</v>
      </c>
      <c r="BM29" s="13">
        <v>0</v>
      </c>
      <c r="BN29" s="16">
        <v>3</v>
      </c>
      <c r="BO29" s="16">
        <v>3</v>
      </c>
      <c r="BP29" s="13">
        <v>0</v>
      </c>
    </row>
    <row r="30" spans="1:68" ht="14.4">
      <c r="A30" s="350" t="s">
        <v>565</v>
      </c>
      <c r="B30" s="6" t="s">
        <v>566</v>
      </c>
      <c r="C30" s="19">
        <v>0</v>
      </c>
      <c r="D30" s="19">
        <v>0</v>
      </c>
      <c r="E30" s="20">
        <v>0</v>
      </c>
      <c r="F30" s="19">
        <v>0</v>
      </c>
      <c r="G30" s="19">
        <v>0</v>
      </c>
      <c r="H30" s="20">
        <v>0</v>
      </c>
      <c r="I30" s="8">
        <v>4</v>
      </c>
      <c r="J30" s="8">
        <v>4</v>
      </c>
      <c r="K30" s="20">
        <v>0</v>
      </c>
      <c r="L30" s="20">
        <v>3</v>
      </c>
      <c r="M30" s="20">
        <v>3</v>
      </c>
      <c r="N30" s="20">
        <v>0</v>
      </c>
      <c r="O30" s="20">
        <v>0</v>
      </c>
      <c r="P30" s="20">
        <v>0</v>
      </c>
      <c r="Q30" s="20">
        <v>0</v>
      </c>
      <c r="R30" s="9">
        <v>3</v>
      </c>
      <c r="S30" s="9">
        <v>3</v>
      </c>
      <c r="T30" s="20">
        <v>0</v>
      </c>
      <c r="U30" s="20">
        <v>3</v>
      </c>
      <c r="V30" s="20">
        <v>3</v>
      </c>
      <c r="W30" s="20">
        <v>0</v>
      </c>
      <c r="X30" s="9">
        <v>3</v>
      </c>
      <c r="Y30" s="9">
        <v>3</v>
      </c>
      <c r="Z30" s="20">
        <v>0</v>
      </c>
      <c r="AA30" s="8">
        <v>4</v>
      </c>
      <c r="AB30" s="8">
        <v>4</v>
      </c>
      <c r="AC30" s="20">
        <v>0</v>
      </c>
      <c r="AD30" s="8">
        <v>3</v>
      </c>
      <c r="AE30" s="8">
        <v>3</v>
      </c>
      <c r="AF30" s="20">
        <v>0</v>
      </c>
      <c r="AG30" s="8">
        <v>3</v>
      </c>
      <c r="AH30" s="8">
        <v>3</v>
      </c>
      <c r="AI30" s="20">
        <v>0</v>
      </c>
      <c r="AJ30" s="8">
        <v>3</v>
      </c>
      <c r="AK30" s="8">
        <v>3</v>
      </c>
      <c r="AL30" s="20">
        <v>0</v>
      </c>
      <c r="AM30" s="16">
        <v>3</v>
      </c>
      <c r="AN30" s="16">
        <v>3</v>
      </c>
      <c r="AO30" s="13">
        <v>0</v>
      </c>
      <c r="AP30" s="16">
        <v>3</v>
      </c>
      <c r="AQ30" s="16">
        <v>3</v>
      </c>
      <c r="AR30" s="17">
        <v>0</v>
      </c>
      <c r="AS30" s="16">
        <v>3</v>
      </c>
      <c r="AT30" s="16">
        <v>3</v>
      </c>
      <c r="AU30" s="17">
        <v>0</v>
      </c>
      <c r="AV30" s="16">
        <v>3</v>
      </c>
      <c r="AW30" s="16">
        <v>3</v>
      </c>
      <c r="AX30" s="17">
        <v>0</v>
      </c>
      <c r="AY30" s="21">
        <v>3</v>
      </c>
      <c r="AZ30" s="20">
        <v>3</v>
      </c>
      <c r="BA30" s="20">
        <v>0</v>
      </c>
      <c r="BB30" s="20">
        <v>3</v>
      </c>
      <c r="BC30" s="20">
        <v>3</v>
      </c>
      <c r="BD30" s="20">
        <f t="shared" ref="BD30:BD34" si="3">BB30-BC30</f>
        <v>0</v>
      </c>
      <c r="BE30" s="20">
        <v>3</v>
      </c>
      <c r="BF30" s="20">
        <v>3</v>
      </c>
      <c r="BG30" s="20">
        <f t="shared" ref="BG30:BG34" si="4">BE30-BF30</f>
        <v>0</v>
      </c>
      <c r="BH30" s="20">
        <v>3</v>
      </c>
      <c r="BI30" s="20">
        <v>3</v>
      </c>
      <c r="BJ30" s="20">
        <f t="shared" ref="BJ30:BJ34" si="5">BH30-BI30</f>
        <v>0</v>
      </c>
      <c r="BK30" s="20">
        <v>3</v>
      </c>
      <c r="BL30" s="20">
        <v>3</v>
      </c>
      <c r="BM30" s="20">
        <f t="shared" ref="BM30:BM34" si="6">BK30-BL30</f>
        <v>0</v>
      </c>
      <c r="BN30" s="20">
        <v>3</v>
      </c>
      <c r="BO30" s="20">
        <v>3</v>
      </c>
      <c r="BP30" s="20">
        <f t="shared" ref="BP30:BP41" si="7">BN30-BO30</f>
        <v>0</v>
      </c>
    </row>
    <row r="31" spans="1:68" ht="14.4">
      <c r="A31" s="351"/>
      <c r="B31" s="6" t="s">
        <v>567</v>
      </c>
      <c r="C31" s="8">
        <v>0</v>
      </c>
      <c r="D31" s="8">
        <v>0</v>
      </c>
      <c r="E31" s="9">
        <v>0</v>
      </c>
      <c r="F31" s="8">
        <v>0</v>
      </c>
      <c r="G31" s="8">
        <v>0</v>
      </c>
      <c r="H31" s="9">
        <v>0</v>
      </c>
      <c r="I31" s="8">
        <v>4</v>
      </c>
      <c r="J31" s="8">
        <v>4</v>
      </c>
      <c r="K31" s="9">
        <v>0</v>
      </c>
      <c r="L31" s="9">
        <v>3</v>
      </c>
      <c r="M31" s="9">
        <v>3</v>
      </c>
      <c r="N31" s="9">
        <v>0</v>
      </c>
      <c r="O31" s="9">
        <v>0</v>
      </c>
      <c r="P31" s="9">
        <v>0</v>
      </c>
      <c r="Q31" s="9">
        <v>0</v>
      </c>
      <c r="R31" s="8">
        <v>3</v>
      </c>
      <c r="S31" s="8">
        <v>3</v>
      </c>
      <c r="T31" s="9">
        <v>0</v>
      </c>
      <c r="U31" s="9">
        <v>3</v>
      </c>
      <c r="V31" s="9">
        <v>3</v>
      </c>
      <c r="W31" s="9">
        <v>0</v>
      </c>
      <c r="X31" s="8">
        <v>3</v>
      </c>
      <c r="Y31" s="8">
        <v>3</v>
      </c>
      <c r="Z31" s="9">
        <v>0</v>
      </c>
      <c r="AA31" s="8">
        <v>4</v>
      </c>
      <c r="AB31" s="8">
        <v>4</v>
      </c>
      <c r="AC31" s="9">
        <v>0</v>
      </c>
      <c r="AD31" s="8">
        <v>3</v>
      </c>
      <c r="AE31" s="8">
        <v>3</v>
      </c>
      <c r="AF31" s="9">
        <v>0</v>
      </c>
      <c r="AG31" s="8">
        <v>3</v>
      </c>
      <c r="AH31" s="8">
        <v>3</v>
      </c>
      <c r="AI31" s="9">
        <v>0</v>
      </c>
      <c r="AJ31" s="8">
        <v>3</v>
      </c>
      <c r="AK31" s="8">
        <v>3</v>
      </c>
      <c r="AL31" s="9">
        <v>0</v>
      </c>
      <c r="AM31" s="16">
        <v>3</v>
      </c>
      <c r="AN31" s="16">
        <v>3</v>
      </c>
      <c r="AO31" s="13">
        <v>0</v>
      </c>
      <c r="AP31" s="16">
        <v>3</v>
      </c>
      <c r="AQ31" s="16">
        <v>3</v>
      </c>
      <c r="AR31" s="17">
        <v>0</v>
      </c>
      <c r="AS31" s="16">
        <v>3</v>
      </c>
      <c r="AT31" s="16">
        <v>3</v>
      </c>
      <c r="AU31" s="17">
        <v>0</v>
      </c>
      <c r="AV31" s="16">
        <v>3</v>
      </c>
      <c r="AW31" s="16">
        <v>3</v>
      </c>
      <c r="AX31" s="17">
        <v>0</v>
      </c>
      <c r="AY31" s="9">
        <v>3</v>
      </c>
      <c r="AZ31" s="9">
        <v>3</v>
      </c>
      <c r="BA31" s="9">
        <v>0</v>
      </c>
      <c r="BB31" s="9">
        <v>3</v>
      </c>
      <c r="BC31" s="9">
        <v>3</v>
      </c>
      <c r="BD31" s="9">
        <f t="shared" si="3"/>
        <v>0</v>
      </c>
      <c r="BE31" s="9">
        <v>3</v>
      </c>
      <c r="BF31" s="9">
        <v>3</v>
      </c>
      <c r="BG31" s="9">
        <f t="shared" si="4"/>
        <v>0</v>
      </c>
      <c r="BH31" s="9">
        <v>3</v>
      </c>
      <c r="BI31" s="9">
        <v>3</v>
      </c>
      <c r="BJ31" s="9">
        <f t="shared" si="5"/>
        <v>0</v>
      </c>
      <c r="BK31" s="9">
        <v>3</v>
      </c>
      <c r="BL31" s="9">
        <v>3</v>
      </c>
      <c r="BM31" s="9">
        <f t="shared" si="6"/>
        <v>0</v>
      </c>
      <c r="BN31" s="9">
        <v>3</v>
      </c>
      <c r="BO31" s="9">
        <v>3</v>
      </c>
      <c r="BP31" s="9">
        <f t="shared" si="7"/>
        <v>0</v>
      </c>
    </row>
    <row r="32" spans="1:68" ht="14.4">
      <c r="A32" s="351"/>
      <c r="B32" s="6" t="s">
        <v>568</v>
      </c>
      <c r="C32" s="8">
        <v>0</v>
      </c>
      <c r="D32" s="8">
        <v>0</v>
      </c>
      <c r="E32" s="9">
        <v>0</v>
      </c>
      <c r="F32" s="8">
        <v>0</v>
      </c>
      <c r="G32" s="8">
        <v>0</v>
      </c>
      <c r="H32" s="9">
        <v>0</v>
      </c>
      <c r="I32" s="8">
        <v>4</v>
      </c>
      <c r="J32" s="8">
        <v>4</v>
      </c>
      <c r="K32" s="9">
        <v>0</v>
      </c>
      <c r="L32" s="9">
        <v>3</v>
      </c>
      <c r="M32" s="9">
        <v>3</v>
      </c>
      <c r="N32" s="9">
        <v>0</v>
      </c>
      <c r="O32" s="9">
        <v>0</v>
      </c>
      <c r="P32" s="9">
        <v>0</v>
      </c>
      <c r="Q32" s="9">
        <v>0</v>
      </c>
      <c r="R32" s="9">
        <v>3</v>
      </c>
      <c r="S32" s="9">
        <v>3</v>
      </c>
      <c r="T32" s="9">
        <v>0</v>
      </c>
      <c r="U32" s="9">
        <v>3</v>
      </c>
      <c r="V32" s="9">
        <v>3</v>
      </c>
      <c r="W32" s="9">
        <v>0</v>
      </c>
      <c r="X32" s="9">
        <v>3</v>
      </c>
      <c r="Y32" s="9">
        <v>3</v>
      </c>
      <c r="Z32" s="9">
        <v>0</v>
      </c>
      <c r="AA32" s="8">
        <v>4</v>
      </c>
      <c r="AB32" s="8">
        <v>4</v>
      </c>
      <c r="AC32" s="9">
        <v>0</v>
      </c>
      <c r="AD32" s="8">
        <v>3</v>
      </c>
      <c r="AE32" s="8">
        <v>3</v>
      </c>
      <c r="AF32" s="9">
        <v>0</v>
      </c>
      <c r="AG32" s="8">
        <v>3</v>
      </c>
      <c r="AH32" s="8">
        <v>3</v>
      </c>
      <c r="AI32" s="9">
        <v>0</v>
      </c>
      <c r="AJ32" s="8">
        <v>3</v>
      </c>
      <c r="AK32" s="8">
        <v>3</v>
      </c>
      <c r="AL32" s="9">
        <v>0</v>
      </c>
      <c r="AM32" s="16">
        <v>3</v>
      </c>
      <c r="AN32" s="16">
        <v>3</v>
      </c>
      <c r="AO32" s="13">
        <v>0</v>
      </c>
      <c r="AP32" s="16">
        <v>3</v>
      </c>
      <c r="AQ32" s="16">
        <v>3</v>
      </c>
      <c r="AR32" s="17">
        <v>0</v>
      </c>
      <c r="AS32" s="16">
        <v>3</v>
      </c>
      <c r="AT32" s="16">
        <v>3</v>
      </c>
      <c r="AU32" s="17">
        <v>0</v>
      </c>
      <c r="AV32" s="16">
        <v>3</v>
      </c>
      <c r="AW32" s="16">
        <v>3</v>
      </c>
      <c r="AX32" s="17">
        <v>0</v>
      </c>
      <c r="AY32" s="9">
        <v>3</v>
      </c>
      <c r="AZ32" s="9">
        <v>3</v>
      </c>
      <c r="BA32" s="9">
        <v>0</v>
      </c>
      <c r="BB32" s="9">
        <v>3</v>
      </c>
      <c r="BC32" s="9">
        <v>3</v>
      </c>
      <c r="BD32" s="9">
        <f>BB33-BC33</f>
        <v>0</v>
      </c>
      <c r="BE32" s="9">
        <v>3</v>
      </c>
      <c r="BF32" s="9">
        <v>3</v>
      </c>
      <c r="BG32" s="9">
        <f>BE33-BF33</f>
        <v>0</v>
      </c>
      <c r="BH32" s="9">
        <v>3</v>
      </c>
      <c r="BI32" s="9">
        <v>3</v>
      </c>
      <c r="BJ32" s="9">
        <f>BH33-BI33</f>
        <v>0</v>
      </c>
      <c r="BK32" s="9">
        <v>3</v>
      </c>
      <c r="BL32" s="9">
        <v>3</v>
      </c>
      <c r="BM32" s="9">
        <f>BK33-BL33</f>
        <v>0</v>
      </c>
      <c r="BN32" s="9">
        <v>3</v>
      </c>
      <c r="BO32" s="9">
        <v>3</v>
      </c>
      <c r="BP32" s="9">
        <f>BN33-BO33</f>
        <v>0</v>
      </c>
    </row>
    <row r="33" spans="1:68" ht="14.4">
      <c r="A33" s="351"/>
      <c r="B33" s="6" t="s">
        <v>569</v>
      </c>
      <c r="C33" s="8">
        <v>0</v>
      </c>
      <c r="D33" s="8">
        <v>0</v>
      </c>
      <c r="E33" s="9">
        <v>0</v>
      </c>
      <c r="F33" s="8">
        <v>0</v>
      </c>
      <c r="G33" s="8">
        <v>0</v>
      </c>
      <c r="H33" s="9">
        <v>0</v>
      </c>
      <c r="I33" s="8">
        <v>4</v>
      </c>
      <c r="J33" s="8">
        <v>4</v>
      </c>
      <c r="K33" s="9">
        <v>0</v>
      </c>
      <c r="L33" s="9">
        <v>3</v>
      </c>
      <c r="M33" s="9">
        <v>3</v>
      </c>
      <c r="N33" s="9">
        <v>0</v>
      </c>
      <c r="O33" s="9">
        <v>0</v>
      </c>
      <c r="P33" s="9">
        <v>0</v>
      </c>
      <c r="Q33" s="9">
        <v>0</v>
      </c>
      <c r="R33" s="8">
        <v>3</v>
      </c>
      <c r="S33" s="8">
        <v>3</v>
      </c>
      <c r="T33" s="9">
        <v>0</v>
      </c>
      <c r="U33" s="9">
        <v>3</v>
      </c>
      <c r="V33" s="9">
        <v>3</v>
      </c>
      <c r="W33" s="9">
        <v>0</v>
      </c>
      <c r="X33" s="8">
        <v>3</v>
      </c>
      <c r="Y33" s="8">
        <v>3</v>
      </c>
      <c r="Z33" s="9">
        <v>0</v>
      </c>
      <c r="AA33" s="8">
        <v>4</v>
      </c>
      <c r="AB33" s="8">
        <v>4</v>
      </c>
      <c r="AC33" s="9">
        <v>0</v>
      </c>
      <c r="AD33" s="8">
        <v>3</v>
      </c>
      <c r="AE33" s="8">
        <v>3</v>
      </c>
      <c r="AF33" s="9">
        <v>0</v>
      </c>
      <c r="AG33" s="8">
        <v>3</v>
      </c>
      <c r="AH33" s="8">
        <v>3</v>
      </c>
      <c r="AI33" s="9">
        <v>0</v>
      </c>
      <c r="AJ33" s="8">
        <v>3</v>
      </c>
      <c r="AK33" s="8">
        <v>3</v>
      </c>
      <c r="AL33" s="9">
        <v>0</v>
      </c>
      <c r="AM33" s="16">
        <v>3</v>
      </c>
      <c r="AN33" s="16">
        <v>3</v>
      </c>
      <c r="AO33" s="13">
        <v>0</v>
      </c>
      <c r="AP33" s="16">
        <v>3</v>
      </c>
      <c r="AQ33" s="16">
        <v>3</v>
      </c>
      <c r="AR33" s="17">
        <v>0</v>
      </c>
      <c r="AS33" s="16">
        <v>3</v>
      </c>
      <c r="AT33" s="16">
        <v>3</v>
      </c>
      <c r="AU33" s="17">
        <v>0</v>
      </c>
      <c r="AV33" s="16">
        <v>3</v>
      </c>
      <c r="AW33" s="16">
        <v>3</v>
      </c>
      <c r="AX33" s="17">
        <v>0</v>
      </c>
      <c r="AY33" s="9">
        <v>3</v>
      </c>
      <c r="AZ33" s="9">
        <v>3</v>
      </c>
      <c r="BA33" s="9">
        <v>0</v>
      </c>
      <c r="BB33" s="9">
        <v>3</v>
      </c>
      <c r="BC33" s="9">
        <v>3</v>
      </c>
      <c r="BD33" s="9">
        <f t="shared" si="3"/>
        <v>0</v>
      </c>
      <c r="BE33" s="9">
        <v>3</v>
      </c>
      <c r="BF33" s="9">
        <v>3</v>
      </c>
      <c r="BG33" s="9">
        <f t="shared" si="4"/>
        <v>0</v>
      </c>
      <c r="BH33" s="9">
        <v>3</v>
      </c>
      <c r="BI33" s="9">
        <v>3</v>
      </c>
      <c r="BJ33" s="9">
        <f t="shared" si="5"/>
        <v>0</v>
      </c>
      <c r="BK33" s="9">
        <v>3</v>
      </c>
      <c r="BL33" s="9">
        <v>3</v>
      </c>
      <c r="BM33" s="9">
        <f t="shared" si="6"/>
        <v>0</v>
      </c>
      <c r="BN33" s="9">
        <v>3</v>
      </c>
      <c r="BO33" s="9">
        <v>3</v>
      </c>
      <c r="BP33" s="9">
        <f t="shared" si="7"/>
        <v>0</v>
      </c>
    </row>
    <row r="34" spans="1:68" ht="14.4">
      <c r="A34" s="351"/>
      <c r="B34" s="8" t="s">
        <v>570</v>
      </c>
      <c r="C34" s="8">
        <v>0</v>
      </c>
      <c r="D34" s="8">
        <v>0</v>
      </c>
      <c r="E34" s="9">
        <v>0</v>
      </c>
      <c r="F34" s="8">
        <v>0</v>
      </c>
      <c r="G34" s="8">
        <v>0</v>
      </c>
      <c r="H34" s="9">
        <v>0</v>
      </c>
      <c r="I34" s="8">
        <v>4</v>
      </c>
      <c r="J34" s="8">
        <v>4</v>
      </c>
      <c r="K34" s="9">
        <v>0</v>
      </c>
      <c r="L34" s="9">
        <v>3</v>
      </c>
      <c r="M34" s="9">
        <v>3</v>
      </c>
      <c r="N34" s="9">
        <v>0</v>
      </c>
      <c r="O34" s="9">
        <v>0</v>
      </c>
      <c r="P34" s="9">
        <v>0</v>
      </c>
      <c r="Q34" s="9">
        <v>0</v>
      </c>
      <c r="R34" s="9">
        <v>3</v>
      </c>
      <c r="S34" s="9">
        <v>3</v>
      </c>
      <c r="T34" s="9">
        <v>0</v>
      </c>
      <c r="U34" s="9">
        <v>3</v>
      </c>
      <c r="V34" s="9">
        <v>3</v>
      </c>
      <c r="W34" s="9">
        <v>0</v>
      </c>
      <c r="X34" s="9">
        <v>3</v>
      </c>
      <c r="Y34" s="9">
        <v>3</v>
      </c>
      <c r="Z34" s="9">
        <v>0</v>
      </c>
      <c r="AA34" s="8">
        <v>4</v>
      </c>
      <c r="AB34" s="8">
        <v>4</v>
      </c>
      <c r="AC34" s="9">
        <v>0</v>
      </c>
      <c r="AD34" s="8">
        <v>3</v>
      </c>
      <c r="AE34" s="8">
        <v>3</v>
      </c>
      <c r="AF34" s="9">
        <v>0</v>
      </c>
      <c r="AG34" s="8">
        <v>3</v>
      </c>
      <c r="AH34" s="8">
        <v>3</v>
      </c>
      <c r="AI34" s="9">
        <v>0</v>
      </c>
      <c r="AJ34" s="8">
        <v>3</v>
      </c>
      <c r="AK34" s="8">
        <v>3</v>
      </c>
      <c r="AL34" s="9">
        <v>0</v>
      </c>
      <c r="AM34" s="16">
        <v>3</v>
      </c>
      <c r="AN34" s="16">
        <v>3</v>
      </c>
      <c r="AO34" s="13">
        <v>0</v>
      </c>
      <c r="AP34" s="16">
        <v>3</v>
      </c>
      <c r="AQ34" s="16">
        <v>3</v>
      </c>
      <c r="AR34" s="17">
        <v>0</v>
      </c>
      <c r="AS34" s="16">
        <v>3</v>
      </c>
      <c r="AT34" s="16">
        <v>3</v>
      </c>
      <c r="AU34" s="17">
        <v>0</v>
      </c>
      <c r="AV34" s="16">
        <v>3</v>
      </c>
      <c r="AW34" s="16">
        <v>3</v>
      </c>
      <c r="AX34" s="17">
        <v>0</v>
      </c>
      <c r="AY34" s="9">
        <v>3</v>
      </c>
      <c r="AZ34" s="9">
        <v>3</v>
      </c>
      <c r="BA34" s="9">
        <v>0</v>
      </c>
      <c r="BB34" s="9">
        <v>3</v>
      </c>
      <c r="BC34" s="9">
        <v>3</v>
      </c>
      <c r="BD34" s="9">
        <f t="shared" si="3"/>
        <v>0</v>
      </c>
      <c r="BE34" s="9">
        <v>3</v>
      </c>
      <c r="BF34" s="9">
        <v>3</v>
      </c>
      <c r="BG34" s="9">
        <f t="shared" si="4"/>
        <v>0</v>
      </c>
      <c r="BH34" s="9">
        <v>3</v>
      </c>
      <c r="BI34" s="9">
        <v>3</v>
      </c>
      <c r="BJ34" s="9">
        <f t="shared" si="5"/>
        <v>0</v>
      </c>
      <c r="BK34" s="9">
        <v>3</v>
      </c>
      <c r="BL34" s="9">
        <v>3</v>
      </c>
      <c r="BM34" s="9">
        <f t="shared" si="6"/>
        <v>0</v>
      </c>
      <c r="BN34" s="9">
        <v>3</v>
      </c>
      <c r="BO34" s="9">
        <v>3</v>
      </c>
      <c r="BP34" s="9">
        <f t="shared" si="7"/>
        <v>0</v>
      </c>
    </row>
    <row r="35" spans="1:68" ht="14.4">
      <c r="A35" s="346" t="s">
        <v>571</v>
      </c>
      <c r="B35" s="6" t="s">
        <v>572</v>
      </c>
      <c r="C35" s="8">
        <v>1</v>
      </c>
      <c r="D35" s="8">
        <v>1</v>
      </c>
      <c r="E35" s="9">
        <v>0</v>
      </c>
      <c r="F35" s="8">
        <v>0</v>
      </c>
      <c r="G35" s="8">
        <v>0</v>
      </c>
      <c r="H35" s="9">
        <v>0</v>
      </c>
      <c r="I35" s="9">
        <v>3</v>
      </c>
      <c r="J35" s="9">
        <v>3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8">
        <v>4</v>
      </c>
      <c r="S35" s="8">
        <v>4</v>
      </c>
      <c r="T35" s="9">
        <v>0</v>
      </c>
      <c r="U35" s="9">
        <v>3</v>
      </c>
      <c r="V35" s="9">
        <v>3</v>
      </c>
      <c r="W35" s="9">
        <f t="shared" ref="W35:W41" si="8">V35-U35</f>
        <v>0</v>
      </c>
      <c r="X35" s="8">
        <v>4</v>
      </c>
      <c r="Y35" s="8">
        <v>4</v>
      </c>
      <c r="Z35" s="9">
        <v>0</v>
      </c>
      <c r="AA35" s="9">
        <v>3</v>
      </c>
      <c r="AB35" s="9">
        <v>3</v>
      </c>
      <c r="AC35" s="9">
        <v>0</v>
      </c>
      <c r="AD35" s="9">
        <v>3</v>
      </c>
      <c r="AE35" s="9">
        <v>3</v>
      </c>
      <c r="AF35" s="9">
        <v>0</v>
      </c>
      <c r="AG35" s="9">
        <v>3</v>
      </c>
      <c r="AH35" s="9">
        <v>3</v>
      </c>
      <c r="AI35" s="9">
        <v>0</v>
      </c>
      <c r="AJ35" s="9">
        <v>3</v>
      </c>
      <c r="AK35" s="9">
        <v>3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3</v>
      </c>
      <c r="BC35" s="9">
        <v>3</v>
      </c>
      <c r="BD35" s="9">
        <v>0</v>
      </c>
      <c r="BE35" s="9">
        <v>3</v>
      </c>
      <c r="BF35" s="9">
        <v>3</v>
      </c>
      <c r="BG35" s="9">
        <v>0</v>
      </c>
      <c r="BH35" s="9">
        <v>3</v>
      </c>
      <c r="BI35" s="9">
        <v>3</v>
      </c>
      <c r="BJ35" s="9">
        <v>0</v>
      </c>
      <c r="BK35" s="9">
        <v>3</v>
      </c>
      <c r="BL35" s="9">
        <v>3</v>
      </c>
      <c r="BM35" s="9">
        <v>0</v>
      </c>
      <c r="BN35" s="9">
        <v>3</v>
      </c>
      <c r="BO35" s="9">
        <v>3</v>
      </c>
      <c r="BP35" s="9">
        <f t="shared" si="7"/>
        <v>0</v>
      </c>
    </row>
    <row r="36" spans="1:68" ht="14.4">
      <c r="A36" s="349"/>
      <c r="B36" s="6" t="s">
        <v>573</v>
      </c>
      <c r="C36" s="8">
        <v>1</v>
      </c>
      <c r="D36" s="8">
        <v>1</v>
      </c>
      <c r="E36" s="9">
        <v>0</v>
      </c>
      <c r="F36" s="8">
        <v>0</v>
      </c>
      <c r="G36" s="8">
        <v>0</v>
      </c>
      <c r="H36" s="9">
        <v>0</v>
      </c>
      <c r="I36" s="9">
        <v>3</v>
      </c>
      <c r="J36" s="9">
        <v>3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4</v>
      </c>
      <c r="S36" s="9">
        <v>4</v>
      </c>
      <c r="T36" s="9">
        <v>0</v>
      </c>
      <c r="U36" s="9">
        <v>3</v>
      </c>
      <c r="V36" s="9">
        <v>3</v>
      </c>
      <c r="W36" s="9">
        <f t="shared" si="8"/>
        <v>0</v>
      </c>
      <c r="X36" s="9">
        <v>4</v>
      </c>
      <c r="Y36" s="9">
        <v>4</v>
      </c>
      <c r="Z36" s="9">
        <v>0</v>
      </c>
      <c r="AA36" s="9">
        <v>3</v>
      </c>
      <c r="AB36" s="9">
        <v>3</v>
      </c>
      <c r="AC36" s="9">
        <v>0</v>
      </c>
      <c r="AD36" s="9">
        <v>3</v>
      </c>
      <c r="AE36" s="9">
        <v>3</v>
      </c>
      <c r="AF36" s="9">
        <v>0</v>
      </c>
      <c r="AG36" s="9">
        <v>3</v>
      </c>
      <c r="AH36" s="9">
        <v>3</v>
      </c>
      <c r="AI36" s="9">
        <v>0</v>
      </c>
      <c r="AJ36" s="9">
        <v>3</v>
      </c>
      <c r="AK36" s="9">
        <v>3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3</v>
      </c>
      <c r="BC36" s="9">
        <v>3</v>
      </c>
      <c r="BD36" s="9">
        <v>0</v>
      </c>
      <c r="BE36" s="9">
        <v>3</v>
      </c>
      <c r="BF36" s="9">
        <v>3</v>
      </c>
      <c r="BG36" s="9">
        <v>0</v>
      </c>
      <c r="BH36" s="9">
        <v>3</v>
      </c>
      <c r="BI36" s="9">
        <v>3</v>
      </c>
      <c r="BJ36" s="9">
        <v>0</v>
      </c>
      <c r="BK36" s="9">
        <v>3</v>
      </c>
      <c r="BL36" s="9">
        <v>3</v>
      </c>
      <c r="BM36" s="9">
        <v>0</v>
      </c>
      <c r="BN36" s="9">
        <v>3</v>
      </c>
      <c r="BO36" s="9">
        <v>3</v>
      </c>
      <c r="BP36" s="9">
        <f t="shared" si="7"/>
        <v>0</v>
      </c>
    </row>
    <row r="37" spans="1:68" ht="14.4">
      <c r="A37" s="347"/>
      <c r="B37" s="6" t="s">
        <v>574</v>
      </c>
      <c r="C37" s="8">
        <v>0</v>
      </c>
      <c r="D37" s="8">
        <v>0</v>
      </c>
      <c r="E37" s="9">
        <v>0</v>
      </c>
      <c r="F37" s="8">
        <v>0</v>
      </c>
      <c r="G37" s="8">
        <v>0</v>
      </c>
      <c r="H37" s="9">
        <v>0</v>
      </c>
      <c r="I37" s="9">
        <v>3</v>
      </c>
      <c r="J37" s="9">
        <v>3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8">
        <v>4</v>
      </c>
      <c r="S37" s="8">
        <v>4</v>
      </c>
      <c r="T37" s="9">
        <v>0</v>
      </c>
      <c r="U37" s="9">
        <v>3</v>
      </c>
      <c r="V37" s="9">
        <v>3</v>
      </c>
      <c r="W37" s="9">
        <f t="shared" si="8"/>
        <v>0</v>
      </c>
      <c r="X37" s="8">
        <v>4</v>
      </c>
      <c r="Y37" s="8">
        <v>4</v>
      </c>
      <c r="Z37" s="9">
        <v>0</v>
      </c>
      <c r="AA37" s="9">
        <v>3</v>
      </c>
      <c r="AB37" s="9">
        <v>3</v>
      </c>
      <c r="AC37" s="9">
        <v>0</v>
      </c>
      <c r="AD37" s="9">
        <v>3</v>
      </c>
      <c r="AE37" s="9">
        <v>3</v>
      </c>
      <c r="AF37" s="9">
        <v>0</v>
      </c>
      <c r="AG37" s="9">
        <v>3</v>
      </c>
      <c r="AH37" s="9">
        <v>3</v>
      </c>
      <c r="AI37" s="9">
        <v>0</v>
      </c>
      <c r="AJ37" s="9">
        <v>3</v>
      </c>
      <c r="AK37" s="9">
        <v>3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3</v>
      </c>
      <c r="BC37" s="9">
        <v>3</v>
      </c>
      <c r="BD37" s="9">
        <v>0</v>
      </c>
      <c r="BE37" s="9">
        <v>3</v>
      </c>
      <c r="BF37" s="9">
        <v>3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>
        <v>0</v>
      </c>
      <c r="BO37" s="9">
        <v>0</v>
      </c>
      <c r="BP37" s="9">
        <f t="shared" si="7"/>
        <v>0</v>
      </c>
    </row>
    <row r="38" spans="1:68" ht="14.4">
      <c r="A38" s="347"/>
      <c r="B38" s="6" t="s">
        <v>575</v>
      </c>
      <c r="C38" s="8">
        <v>1</v>
      </c>
      <c r="D38" s="8">
        <v>1</v>
      </c>
      <c r="E38" s="9">
        <v>0</v>
      </c>
      <c r="F38" s="8">
        <v>0</v>
      </c>
      <c r="G38" s="8">
        <v>0</v>
      </c>
      <c r="H38" s="9">
        <v>0</v>
      </c>
      <c r="I38" s="9">
        <v>4</v>
      </c>
      <c r="J38" s="9">
        <v>4</v>
      </c>
      <c r="K38" s="9">
        <v>0</v>
      </c>
      <c r="L38" s="9">
        <v>1</v>
      </c>
      <c r="M38" s="9">
        <v>1</v>
      </c>
      <c r="N38" s="9">
        <v>0</v>
      </c>
      <c r="O38" s="9">
        <v>0</v>
      </c>
      <c r="P38" s="9">
        <v>0</v>
      </c>
      <c r="Q38" s="9">
        <v>0</v>
      </c>
      <c r="R38" s="9">
        <v>3</v>
      </c>
      <c r="S38" s="9">
        <v>3</v>
      </c>
      <c r="T38" s="9">
        <v>0</v>
      </c>
      <c r="U38" s="9">
        <v>3</v>
      </c>
      <c r="V38" s="9">
        <v>3</v>
      </c>
      <c r="W38" s="9">
        <f t="shared" si="8"/>
        <v>0</v>
      </c>
      <c r="X38" s="9">
        <v>3</v>
      </c>
      <c r="Y38" s="9">
        <v>3</v>
      </c>
      <c r="Z38" s="9">
        <v>0</v>
      </c>
      <c r="AA38" s="9">
        <v>4</v>
      </c>
      <c r="AB38" s="9">
        <v>4</v>
      </c>
      <c r="AC38" s="9">
        <v>0</v>
      </c>
      <c r="AD38" s="9">
        <v>3</v>
      </c>
      <c r="AE38" s="9">
        <v>3</v>
      </c>
      <c r="AF38" s="9">
        <v>0</v>
      </c>
      <c r="AG38" s="9">
        <v>3</v>
      </c>
      <c r="AH38" s="9">
        <v>3</v>
      </c>
      <c r="AI38" s="9">
        <v>0</v>
      </c>
      <c r="AJ38" s="9">
        <v>3</v>
      </c>
      <c r="AK38" s="9">
        <v>3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1</v>
      </c>
      <c r="AW38" s="9">
        <v>1</v>
      </c>
      <c r="AX38" s="9">
        <v>0</v>
      </c>
      <c r="AY38" s="9">
        <v>1</v>
      </c>
      <c r="AZ38" s="9">
        <v>1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</v>
      </c>
      <c r="BP38" s="9">
        <f t="shared" si="7"/>
        <v>0</v>
      </c>
    </row>
    <row r="39" spans="1:68" ht="14.4">
      <c r="A39" s="347"/>
      <c r="B39" s="6" t="s">
        <v>576</v>
      </c>
      <c r="C39" s="8">
        <v>0</v>
      </c>
      <c r="D39" s="8">
        <v>0</v>
      </c>
      <c r="E39" s="9">
        <v>0</v>
      </c>
      <c r="F39" s="8">
        <v>0</v>
      </c>
      <c r="G39" s="8">
        <v>0</v>
      </c>
      <c r="H39" s="9">
        <v>0</v>
      </c>
      <c r="I39" s="9">
        <v>4</v>
      </c>
      <c r="J39" s="9">
        <v>4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3</v>
      </c>
      <c r="S39" s="9">
        <v>3</v>
      </c>
      <c r="T39" s="9">
        <v>0</v>
      </c>
      <c r="U39" s="9">
        <v>3</v>
      </c>
      <c r="V39" s="9">
        <v>3</v>
      </c>
      <c r="W39" s="9">
        <f t="shared" si="8"/>
        <v>0</v>
      </c>
      <c r="X39" s="9">
        <v>3</v>
      </c>
      <c r="Y39" s="9">
        <v>3</v>
      </c>
      <c r="Z39" s="9">
        <v>0</v>
      </c>
      <c r="AA39" s="9">
        <v>4</v>
      </c>
      <c r="AB39" s="9">
        <v>4</v>
      </c>
      <c r="AC39" s="9">
        <v>0</v>
      </c>
      <c r="AD39" s="9">
        <v>3</v>
      </c>
      <c r="AE39" s="9">
        <v>3</v>
      </c>
      <c r="AF39" s="9">
        <v>0</v>
      </c>
      <c r="AG39" s="9">
        <v>3</v>
      </c>
      <c r="AH39" s="9">
        <v>3</v>
      </c>
      <c r="AI39" s="9">
        <v>0</v>
      </c>
      <c r="AJ39" s="9">
        <v>3</v>
      </c>
      <c r="AK39" s="9">
        <v>3</v>
      </c>
      <c r="AL39" s="9">
        <v>0</v>
      </c>
      <c r="AM39" s="9">
        <v>3</v>
      </c>
      <c r="AN39" s="9">
        <v>3</v>
      </c>
      <c r="AO39" s="9">
        <v>0</v>
      </c>
      <c r="AP39" s="9">
        <v>3</v>
      </c>
      <c r="AQ39" s="9">
        <v>3</v>
      </c>
      <c r="AR39" s="9">
        <v>0</v>
      </c>
      <c r="AS39" s="9">
        <v>3</v>
      </c>
      <c r="AT39" s="9">
        <v>3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3</v>
      </c>
      <c r="BC39" s="9">
        <v>3</v>
      </c>
      <c r="BD39" s="9">
        <v>0</v>
      </c>
      <c r="BE39" s="9">
        <v>3</v>
      </c>
      <c r="BF39" s="9">
        <v>3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  <c r="BO39" s="9">
        <v>0</v>
      </c>
      <c r="BP39" s="9">
        <f t="shared" si="7"/>
        <v>0</v>
      </c>
    </row>
    <row r="40" spans="1:68" ht="14.4">
      <c r="A40" s="347"/>
      <c r="B40" s="6" t="s">
        <v>471</v>
      </c>
      <c r="C40" s="8">
        <v>0</v>
      </c>
      <c r="D40" s="8">
        <v>0</v>
      </c>
      <c r="E40" s="9">
        <v>0</v>
      </c>
      <c r="F40" s="8">
        <v>0</v>
      </c>
      <c r="G40" s="8">
        <v>0</v>
      </c>
      <c r="H40" s="9">
        <v>0</v>
      </c>
      <c r="I40" s="9">
        <v>3</v>
      </c>
      <c r="J40" s="9">
        <v>3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3</v>
      </c>
      <c r="S40" s="9">
        <v>3</v>
      </c>
      <c r="T40" s="9">
        <v>0</v>
      </c>
      <c r="U40" s="9">
        <v>3</v>
      </c>
      <c r="V40" s="9">
        <v>3</v>
      </c>
      <c r="W40" s="9">
        <f t="shared" si="8"/>
        <v>0</v>
      </c>
      <c r="X40" s="9">
        <v>3</v>
      </c>
      <c r="Y40" s="9">
        <v>3</v>
      </c>
      <c r="Z40" s="9">
        <v>0</v>
      </c>
      <c r="AA40" s="9">
        <v>3</v>
      </c>
      <c r="AB40" s="9">
        <v>3</v>
      </c>
      <c r="AC40" s="9">
        <v>0</v>
      </c>
      <c r="AD40" s="9">
        <v>3</v>
      </c>
      <c r="AE40" s="9">
        <v>3</v>
      </c>
      <c r="AF40" s="9">
        <v>0</v>
      </c>
      <c r="AG40" s="9">
        <v>0</v>
      </c>
      <c r="AH40" s="9">
        <v>3</v>
      </c>
      <c r="AI40" s="9">
        <v>0</v>
      </c>
      <c r="AJ40" s="9">
        <v>3</v>
      </c>
      <c r="AK40" s="9">
        <v>3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0</v>
      </c>
      <c r="BP40" s="9">
        <f t="shared" si="7"/>
        <v>0</v>
      </c>
    </row>
    <row r="41" spans="1:68" ht="14.4">
      <c r="A41" s="347"/>
      <c r="B41" s="6" t="s">
        <v>472</v>
      </c>
      <c r="C41" s="8">
        <v>0</v>
      </c>
      <c r="D41" s="8">
        <v>0</v>
      </c>
      <c r="E41" s="9">
        <v>0</v>
      </c>
      <c r="F41" s="8">
        <v>0</v>
      </c>
      <c r="G41" s="8">
        <v>0</v>
      </c>
      <c r="H41" s="9">
        <v>0</v>
      </c>
      <c r="I41" s="9">
        <v>4</v>
      </c>
      <c r="J41" s="9">
        <v>4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3</v>
      </c>
      <c r="S41" s="9">
        <v>3</v>
      </c>
      <c r="T41" s="9">
        <v>0</v>
      </c>
      <c r="U41" s="9">
        <v>3</v>
      </c>
      <c r="V41" s="9">
        <v>3</v>
      </c>
      <c r="W41" s="9">
        <f t="shared" si="8"/>
        <v>0</v>
      </c>
      <c r="X41" s="9">
        <v>3</v>
      </c>
      <c r="Y41" s="9">
        <v>3</v>
      </c>
      <c r="Z41" s="9">
        <v>0</v>
      </c>
      <c r="AA41" s="9">
        <v>4</v>
      </c>
      <c r="AB41" s="9">
        <v>4</v>
      </c>
      <c r="AC41" s="9">
        <v>0</v>
      </c>
      <c r="AD41" s="9">
        <v>3</v>
      </c>
      <c r="AE41" s="9">
        <v>3</v>
      </c>
      <c r="AF41" s="9">
        <v>0</v>
      </c>
      <c r="AG41" s="9">
        <v>3</v>
      </c>
      <c r="AH41" s="9">
        <v>3</v>
      </c>
      <c r="AI41" s="9">
        <v>0</v>
      </c>
      <c r="AJ41" s="9">
        <v>3</v>
      </c>
      <c r="AK41" s="9">
        <v>3</v>
      </c>
      <c r="AL41" s="9">
        <v>0</v>
      </c>
      <c r="AM41" s="9">
        <v>3</v>
      </c>
      <c r="AN41" s="9">
        <v>3</v>
      </c>
      <c r="AO41" s="9">
        <v>0</v>
      </c>
      <c r="AP41" s="9">
        <v>3</v>
      </c>
      <c r="AQ41" s="9">
        <v>3</v>
      </c>
      <c r="AR41" s="9">
        <v>0</v>
      </c>
      <c r="AS41" s="9">
        <v>3</v>
      </c>
      <c r="AT41" s="9">
        <v>3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0</v>
      </c>
      <c r="BP41" s="9">
        <f t="shared" si="7"/>
        <v>0</v>
      </c>
    </row>
    <row r="42" spans="1:68" ht="15" customHeight="1">
      <c r="A42" s="347"/>
      <c r="B42" s="6" t="s">
        <v>577</v>
      </c>
      <c r="C42" s="8">
        <v>1</v>
      </c>
      <c r="D42" s="8">
        <v>1</v>
      </c>
      <c r="E42" s="9">
        <v>0</v>
      </c>
      <c r="F42" s="8">
        <v>0</v>
      </c>
      <c r="G42" s="8">
        <v>0</v>
      </c>
      <c r="H42" s="9">
        <v>0</v>
      </c>
      <c r="I42" s="9">
        <v>4</v>
      </c>
      <c r="J42" s="9">
        <v>4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3</v>
      </c>
      <c r="S42" s="9">
        <v>3</v>
      </c>
      <c r="T42" s="9">
        <v>0</v>
      </c>
      <c r="U42" s="9">
        <v>3</v>
      </c>
      <c r="V42" s="9">
        <v>3</v>
      </c>
      <c r="W42" s="9">
        <f>V43-U43</f>
        <v>0</v>
      </c>
      <c r="X42" s="9">
        <v>3</v>
      </c>
      <c r="Y42" s="9">
        <v>3</v>
      </c>
      <c r="Z42" s="9">
        <v>0</v>
      </c>
      <c r="AA42" s="9">
        <v>4</v>
      </c>
      <c r="AB42" s="9">
        <v>4</v>
      </c>
      <c r="AC42" s="9">
        <v>0</v>
      </c>
      <c r="AD42" s="9">
        <v>3</v>
      </c>
      <c r="AE42" s="9">
        <v>3</v>
      </c>
      <c r="AF42" s="9">
        <v>0</v>
      </c>
      <c r="AG42" s="9">
        <v>3</v>
      </c>
      <c r="AH42" s="9">
        <v>3</v>
      </c>
      <c r="AI42" s="9">
        <v>0</v>
      </c>
      <c r="AJ42" s="9">
        <v>3</v>
      </c>
      <c r="AK42" s="9">
        <v>3</v>
      </c>
      <c r="AL42" s="9">
        <v>0</v>
      </c>
      <c r="AM42" s="9">
        <v>3</v>
      </c>
      <c r="AN42" s="9">
        <v>3</v>
      </c>
      <c r="AO42" s="9">
        <v>0</v>
      </c>
      <c r="AP42" s="9">
        <v>3</v>
      </c>
      <c r="AQ42" s="9">
        <v>3</v>
      </c>
      <c r="AR42" s="9">
        <v>0</v>
      </c>
      <c r="AS42" s="9">
        <v>3</v>
      </c>
      <c r="AT42" s="9">
        <v>3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f>BN43-BO43</f>
        <v>0</v>
      </c>
    </row>
    <row r="43" spans="1:68" ht="14.4">
      <c r="A43" s="347"/>
      <c r="B43" s="6" t="s">
        <v>578</v>
      </c>
      <c r="C43" s="8">
        <v>0</v>
      </c>
      <c r="D43" s="8">
        <v>1</v>
      </c>
      <c r="E43" s="9">
        <v>0</v>
      </c>
      <c r="F43" s="8">
        <v>0</v>
      </c>
      <c r="G43" s="8">
        <v>0</v>
      </c>
      <c r="H43" s="9">
        <v>0</v>
      </c>
      <c r="I43" s="9">
        <v>4</v>
      </c>
      <c r="J43" s="9">
        <v>4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3</v>
      </c>
      <c r="V43" s="9">
        <v>3</v>
      </c>
      <c r="W43" s="9">
        <f>V43-U43</f>
        <v>0</v>
      </c>
      <c r="X43" s="9">
        <v>0</v>
      </c>
      <c r="Y43" s="9">
        <v>0</v>
      </c>
      <c r="Z43" s="9">
        <v>0</v>
      </c>
      <c r="AA43" s="9">
        <v>4</v>
      </c>
      <c r="AB43" s="9">
        <v>4</v>
      </c>
      <c r="AC43" s="9">
        <v>0</v>
      </c>
      <c r="AD43" s="9">
        <v>3</v>
      </c>
      <c r="AE43" s="9">
        <v>3</v>
      </c>
      <c r="AF43" s="9">
        <v>0</v>
      </c>
      <c r="AG43" s="9">
        <v>3</v>
      </c>
      <c r="AH43" s="9">
        <v>3</v>
      </c>
      <c r="AI43" s="9">
        <v>0</v>
      </c>
      <c r="AJ43" s="9">
        <v>1</v>
      </c>
      <c r="AK43" s="9">
        <v>1</v>
      </c>
      <c r="AL43" s="9">
        <v>0</v>
      </c>
      <c r="AM43" s="9">
        <v>3</v>
      </c>
      <c r="AN43" s="9">
        <v>3</v>
      </c>
      <c r="AO43" s="9">
        <v>0</v>
      </c>
      <c r="AP43" s="9">
        <v>3</v>
      </c>
      <c r="AQ43" s="9">
        <v>3</v>
      </c>
      <c r="AR43" s="9">
        <v>0</v>
      </c>
      <c r="AS43" s="9">
        <v>3</v>
      </c>
      <c r="AT43" s="9">
        <v>3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>
        <v>0</v>
      </c>
      <c r="BO43" s="9">
        <v>0</v>
      </c>
      <c r="BP43" s="9">
        <f t="shared" ref="BP43:BP48" si="9">BN43-BO43</f>
        <v>0</v>
      </c>
    </row>
    <row r="44" spans="1:68" ht="14.4">
      <c r="A44" s="347"/>
      <c r="B44" s="6" t="s">
        <v>579</v>
      </c>
      <c r="C44" s="8">
        <v>0</v>
      </c>
      <c r="D44" s="8">
        <v>1</v>
      </c>
      <c r="E44" s="9">
        <v>0</v>
      </c>
      <c r="F44" s="8">
        <v>0</v>
      </c>
      <c r="G44" s="8">
        <v>0</v>
      </c>
      <c r="H44" s="9">
        <v>0</v>
      </c>
      <c r="I44" s="9">
        <v>4</v>
      </c>
      <c r="J44" s="9">
        <v>4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3</v>
      </c>
      <c r="V44" s="9">
        <v>3</v>
      </c>
      <c r="W44" s="9">
        <f>V44-U44</f>
        <v>0</v>
      </c>
      <c r="X44" s="9">
        <v>0</v>
      </c>
      <c r="Y44" s="9">
        <v>0</v>
      </c>
      <c r="Z44" s="9">
        <v>0</v>
      </c>
      <c r="AA44" s="9">
        <v>4</v>
      </c>
      <c r="AB44" s="9">
        <v>4</v>
      </c>
      <c r="AC44" s="9">
        <v>0</v>
      </c>
      <c r="AD44" s="9">
        <v>3</v>
      </c>
      <c r="AE44" s="9">
        <v>3</v>
      </c>
      <c r="AF44" s="9">
        <v>0</v>
      </c>
      <c r="AG44" s="9">
        <v>3</v>
      </c>
      <c r="AH44" s="9">
        <v>3</v>
      </c>
      <c r="AI44" s="9">
        <v>0</v>
      </c>
      <c r="AJ44" s="9">
        <v>1</v>
      </c>
      <c r="AK44" s="9">
        <v>1</v>
      </c>
      <c r="AL44" s="9">
        <v>0</v>
      </c>
      <c r="AM44" s="9">
        <v>3</v>
      </c>
      <c r="AN44" s="9">
        <v>3</v>
      </c>
      <c r="AO44" s="9">
        <v>0</v>
      </c>
      <c r="AP44" s="9">
        <v>3</v>
      </c>
      <c r="AQ44" s="9">
        <v>3</v>
      </c>
      <c r="AR44" s="9">
        <v>0</v>
      </c>
      <c r="AS44" s="9">
        <v>3</v>
      </c>
      <c r="AT44" s="9">
        <v>3</v>
      </c>
      <c r="AU44" s="9">
        <v>0</v>
      </c>
      <c r="AV44" s="9">
        <v>3</v>
      </c>
      <c r="AW44" s="9">
        <v>3</v>
      </c>
      <c r="AX44" s="9">
        <v>0</v>
      </c>
      <c r="AY44" s="9">
        <v>3</v>
      </c>
      <c r="AZ44" s="9">
        <v>3</v>
      </c>
      <c r="BA44" s="9">
        <v>0</v>
      </c>
      <c r="BB44" s="9">
        <v>3</v>
      </c>
      <c r="BC44" s="9">
        <v>3</v>
      </c>
      <c r="BD44" s="9">
        <v>0</v>
      </c>
      <c r="BE44" s="9">
        <v>3</v>
      </c>
      <c r="BF44" s="9">
        <v>3</v>
      </c>
      <c r="BG44" s="9">
        <v>0</v>
      </c>
      <c r="BH44" s="9">
        <v>3</v>
      </c>
      <c r="BI44" s="9">
        <v>3</v>
      </c>
      <c r="BJ44" s="9">
        <v>0</v>
      </c>
      <c r="BK44" s="9">
        <v>3</v>
      </c>
      <c r="BL44" s="9">
        <v>3</v>
      </c>
      <c r="BM44" s="9">
        <v>0</v>
      </c>
      <c r="BN44" s="9">
        <v>3</v>
      </c>
      <c r="BO44" s="9">
        <v>3</v>
      </c>
      <c r="BP44" s="9">
        <f t="shared" si="9"/>
        <v>0</v>
      </c>
    </row>
    <row r="45" spans="1:68" ht="14.4">
      <c r="A45" s="347"/>
      <c r="B45" s="6" t="s">
        <v>580</v>
      </c>
      <c r="C45" s="8">
        <v>0</v>
      </c>
      <c r="D45" s="8">
        <v>0</v>
      </c>
      <c r="E45" s="9">
        <v>0</v>
      </c>
      <c r="F45" s="8">
        <v>0</v>
      </c>
      <c r="G45" s="8">
        <v>0</v>
      </c>
      <c r="H45" s="9">
        <v>0</v>
      </c>
      <c r="I45" s="9">
        <v>4</v>
      </c>
      <c r="J45" s="9">
        <v>4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3</v>
      </c>
      <c r="V45" s="9">
        <v>3</v>
      </c>
      <c r="W45" s="9">
        <v>0</v>
      </c>
      <c r="X45" s="9">
        <v>0</v>
      </c>
      <c r="Y45" s="9">
        <v>0</v>
      </c>
      <c r="Z45" s="9">
        <v>0</v>
      </c>
      <c r="AA45" s="9">
        <v>4</v>
      </c>
      <c r="AB45" s="9">
        <v>4</v>
      </c>
      <c r="AC45" s="9">
        <v>0</v>
      </c>
      <c r="AD45" s="9">
        <v>3</v>
      </c>
      <c r="AE45" s="9">
        <v>3</v>
      </c>
      <c r="AF45" s="9">
        <v>0</v>
      </c>
      <c r="AG45" s="9">
        <v>3</v>
      </c>
      <c r="AH45" s="9">
        <v>3</v>
      </c>
      <c r="AI45" s="9">
        <v>0</v>
      </c>
      <c r="AJ45" s="9">
        <v>0</v>
      </c>
      <c r="AK45" s="9">
        <v>0</v>
      </c>
      <c r="AL45" s="9">
        <v>0</v>
      </c>
      <c r="AM45" s="9">
        <v>3</v>
      </c>
      <c r="AN45" s="9">
        <v>3</v>
      </c>
      <c r="AO45" s="9">
        <v>0</v>
      </c>
      <c r="AP45" s="9">
        <v>3</v>
      </c>
      <c r="AQ45" s="9">
        <v>3</v>
      </c>
      <c r="AR45" s="9">
        <v>0</v>
      </c>
      <c r="AS45" s="9">
        <v>3</v>
      </c>
      <c r="AT45" s="9">
        <v>3</v>
      </c>
      <c r="AU45" s="9">
        <v>0</v>
      </c>
      <c r="AV45" s="9">
        <v>0</v>
      </c>
      <c r="AW45" s="9">
        <v>0</v>
      </c>
      <c r="AX45" s="9">
        <v>0</v>
      </c>
      <c r="AY45" s="9">
        <v>3</v>
      </c>
      <c r="AZ45" s="9">
        <v>3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>
        <v>0</v>
      </c>
      <c r="BO45" s="9">
        <v>0</v>
      </c>
      <c r="BP45" s="9">
        <f t="shared" si="9"/>
        <v>0</v>
      </c>
    </row>
    <row r="46" spans="1:68" ht="14.4">
      <c r="A46" s="347"/>
      <c r="B46" s="6" t="s">
        <v>581</v>
      </c>
      <c r="C46" s="8">
        <v>0</v>
      </c>
      <c r="D46" s="8">
        <v>0</v>
      </c>
      <c r="E46" s="9">
        <v>0</v>
      </c>
      <c r="F46" s="8">
        <v>0</v>
      </c>
      <c r="G46" s="8">
        <v>0</v>
      </c>
      <c r="H46" s="9">
        <v>0</v>
      </c>
      <c r="I46" s="9">
        <v>4</v>
      </c>
      <c r="J46" s="9">
        <v>4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3</v>
      </c>
      <c r="V46" s="9">
        <v>3</v>
      </c>
      <c r="W46" s="9">
        <v>0</v>
      </c>
      <c r="X46" s="9">
        <v>0</v>
      </c>
      <c r="Y46" s="9">
        <v>0</v>
      </c>
      <c r="Z46" s="9">
        <v>0</v>
      </c>
      <c r="AA46" s="9">
        <v>4</v>
      </c>
      <c r="AB46" s="9">
        <v>4</v>
      </c>
      <c r="AC46" s="9">
        <v>0</v>
      </c>
      <c r="AD46" s="9">
        <v>0</v>
      </c>
      <c r="AE46" s="9">
        <v>3</v>
      </c>
      <c r="AF46" s="9">
        <v>0</v>
      </c>
      <c r="AG46" s="9">
        <v>3</v>
      </c>
      <c r="AH46" s="9">
        <v>3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3</v>
      </c>
      <c r="BC46" s="9">
        <v>3</v>
      </c>
      <c r="BD46" s="9">
        <v>0</v>
      </c>
      <c r="BE46" s="9">
        <v>3</v>
      </c>
      <c r="BF46" s="9">
        <v>3</v>
      </c>
      <c r="BG46" s="9">
        <v>0</v>
      </c>
      <c r="BH46" s="9">
        <v>0</v>
      </c>
      <c r="BI46" s="9">
        <v>0</v>
      </c>
      <c r="BJ46" s="9">
        <v>0</v>
      </c>
      <c r="BK46" s="9">
        <v>0</v>
      </c>
      <c r="BL46" s="9">
        <v>0</v>
      </c>
      <c r="BM46" s="9">
        <v>0</v>
      </c>
      <c r="BN46" s="9">
        <v>3</v>
      </c>
      <c r="BO46" s="9">
        <v>3</v>
      </c>
      <c r="BP46" s="9">
        <f t="shared" si="9"/>
        <v>0</v>
      </c>
    </row>
    <row r="47" spans="1:68" ht="14.4">
      <c r="A47" s="347"/>
      <c r="B47" s="6" t="s">
        <v>582</v>
      </c>
      <c r="C47" s="8">
        <v>0</v>
      </c>
      <c r="D47" s="8">
        <v>0</v>
      </c>
      <c r="E47" s="9">
        <v>0</v>
      </c>
      <c r="F47" s="8">
        <v>0</v>
      </c>
      <c r="G47" s="8">
        <v>0</v>
      </c>
      <c r="H47" s="9">
        <v>0</v>
      </c>
      <c r="I47" s="9">
        <v>4</v>
      </c>
      <c r="J47" s="9">
        <v>4</v>
      </c>
      <c r="K47" s="9">
        <v>3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3</v>
      </c>
      <c r="V47" s="9">
        <v>3</v>
      </c>
      <c r="W47" s="9">
        <v>0</v>
      </c>
      <c r="X47" s="9">
        <v>0</v>
      </c>
      <c r="Y47" s="9">
        <v>0</v>
      </c>
      <c r="Z47" s="9">
        <v>0</v>
      </c>
      <c r="AA47" s="9">
        <v>4</v>
      </c>
      <c r="AB47" s="9">
        <v>4</v>
      </c>
      <c r="AC47" s="9">
        <v>3</v>
      </c>
      <c r="AD47" s="9">
        <v>3</v>
      </c>
      <c r="AE47" s="9">
        <v>3</v>
      </c>
      <c r="AF47" s="9">
        <v>0</v>
      </c>
      <c r="AG47" s="9">
        <v>1</v>
      </c>
      <c r="AH47" s="9">
        <v>1</v>
      </c>
      <c r="AI47" s="9">
        <v>0</v>
      </c>
      <c r="AJ47" s="9">
        <v>0</v>
      </c>
      <c r="AK47" s="9">
        <v>0</v>
      </c>
      <c r="AL47" s="9">
        <v>0</v>
      </c>
      <c r="AM47" s="9">
        <v>3</v>
      </c>
      <c r="AN47" s="9">
        <v>3</v>
      </c>
      <c r="AO47" s="9">
        <v>0</v>
      </c>
      <c r="AP47" s="9">
        <v>3</v>
      </c>
      <c r="AQ47" s="9">
        <v>3</v>
      </c>
      <c r="AR47" s="9">
        <v>0</v>
      </c>
      <c r="AS47" s="9">
        <v>3</v>
      </c>
      <c r="AT47" s="9">
        <v>3</v>
      </c>
      <c r="AU47" s="9">
        <v>0</v>
      </c>
      <c r="AV47" s="9">
        <v>3</v>
      </c>
      <c r="AW47" s="9">
        <v>3</v>
      </c>
      <c r="AX47" s="9">
        <v>0</v>
      </c>
      <c r="AY47" s="9">
        <v>3</v>
      </c>
      <c r="AZ47" s="9">
        <v>3</v>
      </c>
      <c r="BA47" s="9">
        <v>0</v>
      </c>
      <c r="BB47" s="9">
        <v>0</v>
      </c>
      <c r="BC47" s="9">
        <v>0</v>
      </c>
      <c r="BD47" s="9">
        <v>0</v>
      </c>
      <c r="BE47" s="9">
        <v>3</v>
      </c>
      <c r="BF47" s="9">
        <v>3</v>
      </c>
      <c r="BG47" s="9">
        <v>0</v>
      </c>
      <c r="BH47" s="9">
        <v>3</v>
      </c>
      <c r="BI47" s="9">
        <v>3</v>
      </c>
      <c r="BJ47" s="9">
        <v>0</v>
      </c>
      <c r="BK47" s="9">
        <v>3</v>
      </c>
      <c r="BL47" s="9">
        <v>3</v>
      </c>
      <c r="BM47" s="9">
        <v>0</v>
      </c>
      <c r="BN47" s="9">
        <v>3</v>
      </c>
      <c r="BO47" s="9">
        <v>3</v>
      </c>
      <c r="BP47" s="9">
        <f t="shared" si="9"/>
        <v>0</v>
      </c>
    </row>
    <row r="48" spans="1:68" ht="14.4">
      <c r="A48" s="347"/>
      <c r="B48" s="6" t="s">
        <v>583</v>
      </c>
      <c r="C48" s="8">
        <v>0</v>
      </c>
      <c r="D48" s="8">
        <v>0</v>
      </c>
      <c r="E48" s="9">
        <v>0</v>
      </c>
      <c r="F48" s="8">
        <v>0</v>
      </c>
      <c r="G48" s="8">
        <v>0</v>
      </c>
      <c r="H48" s="9">
        <v>0</v>
      </c>
      <c r="I48" s="9">
        <v>0</v>
      </c>
      <c r="J48" s="9">
        <v>0</v>
      </c>
      <c r="K48" s="9">
        <v>3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4</v>
      </c>
      <c r="S48" s="9">
        <v>4</v>
      </c>
      <c r="T48" s="9">
        <v>0</v>
      </c>
      <c r="U48" s="9">
        <v>3</v>
      </c>
      <c r="V48" s="9">
        <v>3</v>
      </c>
      <c r="W48" s="9">
        <v>0</v>
      </c>
      <c r="X48" s="9">
        <v>4</v>
      </c>
      <c r="Y48" s="9">
        <v>4</v>
      </c>
      <c r="Z48" s="9">
        <v>0</v>
      </c>
      <c r="AA48" s="9">
        <v>0</v>
      </c>
      <c r="AB48" s="9">
        <v>0</v>
      </c>
      <c r="AC48" s="9">
        <v>3</v>
      </c>
      <c r="AD48" s="9">
        <v>3</v>
      </c>
      <c r="AE48" s="9">
        <v>3</v>
      </c>
      <c r="AF48" s="9">
        <v>0</v>
      </c>
      <c r="AG48" s="9">
        <v>3</v>
      </c>
      <c r="AH48" s="9">
        <v>3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3</v>
      </c>
      <c r="AW48" s="9">
        <v>3</v>
      </c>
      <c r="AX48" s="9">
        <v>0</v>
      </c>
      <c r="AY48" s="9">
        <v>3</v>
      </c>
      <c r="AZ48" s="9">
        <v>3</v>
      </c>
      <c r="BA48" s="9">
        <v>0</v>
      </c>
      <c r="BB48" s="9">
        <v>3</v>
      </c>
      <c r="BC48" s="9">
        <v>3</v>
      </c>
      <c r="BD48" s="9">
        <v>0</v>
      </c>
      <c r="BE48" s="9">
        <v>3</v>
      </c>
      <c r="BF48" s="9">
        <v>3</v>
      </c>
      <c r="BG48" s="9">
        <v>0</v>
      </c>
      <c r="BH48" s="9">
        <v>3</v>
      </c>
      <c r="BI48" s="9">
        <v>3</v>
      </c>
      <c r="BJ48" s="9">
        <v>0</v>
      </c>
      <c r="BK48" s="9">
        <v>3</v>
      </c>
      <c r="BL48" s="9">
        <v>3</v>
      </c>
      <c r="BM48" s="9">
        <v>0</v>
      </c>
      <c r="BN48" s="9">
        <v>3</v>
      </c>
      <c r="BO48" s="9">
        <v>3</v>
      </c>
      <c r="BP48" s="9">
        <f t="shared" si="9"/>
        <v>0</v>
      </c>
    </row>
    <row r="49" spans="1:68" ht="14.4">
      <c r="A49" s="347"/>
      <c r="B49" s="6" t="s">
        <v>584</v>
      </c>
      <c r="C49" s="8">
        <v>0</v>
      </c>
      <c r="D49" s="8">
        <v>0</v>
      </c>
      <c r="E49" s="9">
        <v>0</v>
      </c>
      <c r="F49" s="8">
        <v>0</v>
      </c>
      <c r="G49" s="8">
        <v>0</v>
      </c>
      <c r="H49" s="9">
        <v>0</v>
      </c>
      <c r="I49" s="9">
        <v>4</v>
      </c>
      <c r="J49" s="9">
        <v>4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3</v>
      </c>
      <c r="S49" s="9">
        <v>3</v>
      </c>
      <c r="T49" s="9">
        <v>0</v>
      </c>
      <c r="U49" s="9">
        <v>3</v>
      </c>
      <c r="V49" s="9">
        <v>3</v>
      </c>
      <c r="W49" s="9">
        <v>0</v>
      </c>
      <c r="X49" s="9">
        <v>3</v>
      </c>
      <c r="Y49" s="9">
        <v>3</v>
      </c>
      <c r="Z49" s="9">
        <v>0</v>
      </c>
      <c r="AA49" s="9">
        <v>3</v>
      </c>
      <c r="AB49" s="9">
        <v>3</v>
      </c>
      <c r="AC49" s="9">
        <v>0</v>
      </c>
      <c r="AD49" s="9">
        <v>3</v>
      </c>
      <c r="AE49" s="9">
        <v>3</v>
      </c>
      <c r="AF49" s="9">
        <v>0</v>
      </c>
      <c r="AG49" s="9">
        <v>3</v>
      </c>
      <c r="AH49" s="9">
        <v>3</v>
      </c>
      <c r="AI49" s="9">
        <v>0</v>
      </c>
      <c r="AJ49" s="9">
        <v>3</v>
      </c>
      <c r="AK49" s="9">
        <v>3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  <c r="BO49" s="9">
        <v>0</v>
      </c>
      <c r="BP49" s="9">
        <v>0</v>
      </c>
    </row>
    <row r="50" spans="1:68" ht="14.4">
      <c r="A50" s="347"/>
      <c r="B50" s="6" t="s">
        <v>585</v>
      </c>
      <c r="C50" s="8">
        <v>0</v>
      </c>
      <c r="D50" s="8">
        <v>0</v>
      </c>
      <c r="E50" s="9">
        <v>0</v>
      </c>
      <c r="F50" s="8">
        <v>0</v>
      </c>
      <c r="G50" s="8">
        <v>0</v>
      </c>
      <c r="H50" s="9">
        <v>0</v>
      </c>
      <c r="I50" s="9">
        <v>4</v>
      </c>
      <c r="J50" s="9">
        <v>4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3</v>
      </c>
      <c r="S50" s="9">
        <v>3</v>
      </c>
      <c r="T50" s="9">
        <v>0</v>
      </c>
      <c r="U50" s="9">
        <v>3</v>
      </c>
      <c r="V50" s="9">
        <v>3</v>
      </c>
      <c r="W50" s="9">
        <v>0</v>
      </c>
      <c r="X50" s="9">
        <v>3</v>
      </c>
      <c r="Y50" s="9">
        <v>3</v>
      </c>
      <c r="Z50" s="9">
        <v>0</v>
      </c>
      <c r="AA50" s="9">
        <v>3</v>
      </c>
      <c r="AB50" s="9">
        <v>3</v>
      </c>
      <c r="AC50" s="9">
        <v>0</v>
      </c>
      <c r="AD50" s="9">
        <v>3</v>
      </c>
      <c r="AE50" s="9">
        <v>3</v>
      </c>
      <c r="AF50" s="9">
        <v>0</v>
      </c>
      <c r="AG50" s="9">
        <v>3</v>
      </c>
      <c r="AH50" s="9">
        <v>3</v>
      </c>
      <c r="AI50" s="9">
        <v>0</v>
      </c>
      <c r="AJ50" s="9">
        <v>3</v>
      </c>
      <c r="AK50" s="9">
        <v>3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</row>
    <row r="51" spans="1:68" ht="14.4">
      <c r="A51" s="347"/>
      <c r="B51" s="8" t="s">
        <v>586</v>
      </c>
      <c r="C51" s="8">
        <v>0</v>
      </c>
      <c r="D51" s="8">
        <v>0</v>
      </c>
      <c r="E51" s="9">
        <v>0</v>
      </c>
      <c r="F51" s="8">
        <v>0</v>
      </c>
      <c r="G51" s="8">
        <v>0</v>
      </c>
      <c r="H51" s="9">
        <v>0</v>
      </c>
      <c r="I51" s="9">
        <v>4</v>
      </c>
      <c r="J51" s="9">
        <v>4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3</v>
      </c>
      <c r="S51" s="9">
        <v>3</v>
      </c>
      <c r="T51" s="9">
        <v>0</v>
      </c>
      <c r="U51" s="9">
        <v>3</v>
      </c>
      <c r="V51" s="9">
        <v>3</v>
      </c>
      <c r="W51" s="9">
        <v>1</v>
      </c>
      <c r="X51" s="9">
        <v>3</v>
      </c>
      <c r="Y51" s="9">
        <v>3</v>
      </c>
      <c r="Z51" s="9">
        <v>0</v>
      </c>
      <c r="AA51" s="9">
        <v>4</v>
      </c>
      <c r="AB51" s="9">
        <v>4</v>
      </c>
      <c r="AC51" s="9">
        <v>0</v>
      </c>
      <c r="AD51" s="9">
        <v>3</v>
      </c>
      <c r="AE51" s="9">
        <v>3</v>
      </c>
      <c r="AF51" s="9">
        <v>0</v>
      </c>
      <c r="AG51" s="9">
        <v>3</v>
      </c>
      <c r="AH51" s="9">
        <v>3</v>
      </c>
      <c r="AI51" s="9">
        <v>0</v>
      </c>
      <c r="AJ51" s="9">
        <v>3</v>
      </c>
      <c r="AK51" s="9">
        <v>3</v>
      </c>
      <c r="AL51" s="9">
        <v>0</v>
      </c>
      <c r="AM51" s="9">
        <v>3</v>
      </c>
      <c r="AN51" s="9">
        <v>3</v>
      </c>
      <c r="AO51" s="9">
        <v>0</v>
      </c>
      <c r="AP51" s="9">
        <v>3</v>
      </c>
      <c r="AQ51" s="9">
        <v>3</v>
      </c>
      <c r="AR51" s="9">
        <v>0</v>
      </c>
      <c r="AS51" s="9">
        <v>3</v>
      </c>
      <c r="AT51" s="9">
        <v>3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>
        <v>0</v>
      </c>
      <c r="BO51" s="9">
        <v>0</v>
      </c>
      <c r="BP51" s="9">
        <v>0</v>
      </c>
    </row>
    <row r="52" spans="1:68" ht="14.4">
      <c r="A52" s="347"/>
      <c r="B52" s="8" t="s">
        <v>587</v>
      </c>
      <c r="C52" s="8">
        <v>0</v>
      </c>
      <c r="D52" s="8">
        <v>0</v>
      </c>
      <c r="E52" s="9">
        <v>0</v>
      </c>
      <c r="F52" s="8">
        <v>0</v>
      </c>
      <c r="G52" s="8">
        <v>0</v>
      </c>
      <c r="H52" s="9">
        <v>0</v>
      </c>
      <c r="I52" s="9">
        <v>4</v>
      </c>
      <c r="J52" s="9">
        <v>4</v>
      </c>
      <c r="K52" s="9">
        <v>0</v>
      </c>
      <c r="L52" s="8">
        <v>0</v>
      </c>
      <c r="M52" s="8">
        <v>0</v>
      </c>
      <c r="N52" s="9">
        <v>0</v>
      </c>
      <c r="O52" s="9">
        <v>0</v>
      </c>
      <c r="P52" s="9">
        <v>0</v>
      </c>
      <c r="Q52" s="9">
        <v>0</v>
      </c>
      <c r="R52" s="9">
        <v>3</v>
      </c>
      <c r="S52" s="9">
        <v>3</v>
      </c>
      <c r="T52" s="9">
        <v>0</v>
      </c>
      <c r="U52" s="9">
        <v>3</v>
      </c>
      <c r="V52" s="9">
        <v>3</v>
      </c>
      <c r="W52" s="9">
        <v>0</v>
      </c>
      <c r="X52" s="9">
        <v>3</v>
      </c>
      <c r="Y52" s="9">
        <v>3</v>
      </c>
      <c r="Z52" s="9">
        <v>0</v>
      </c>
      <c r="AA52" s="9">
        <v>4</v>
      </c>
      <c r="AB52" s="9">
        <v>4</v>
      </c>
      <c r="AC52" s="9">
        <v>0</v>
      </c>
      <c r="AD52" s="9">
        <v>3</v>
      </c>
      <c r="AE52" s="9">
        <v>3</v>
      </c>
      <c r="AF52" s="9">
        <v>0</v>
      </c>
      <c r="AG52" s="9">
        <v>3</v>
      </c>
      <c r="AH52" s="9">
        <v>3</v>
      </c>
      <c r="AI52" s="9">
        <v>0</v>
      </c>
      <c r="AJ52" s="8">
        <v>3</v>
      </c>
      <c r="AK52" s="8">
        <v>3</v>
      </c>
      <c r="AL52" s="9">
        <v>0</v>
      </c>
      <c r="AM52" s="9">
        <v>3</v>
      </c>
      <c r="AN52" s="9">
        <v>3</v>
      </c>
      <c r="AO52" s="9">
        <v>0</v>
      </c>
      <c r="AP52" s="9">
        <v>3</v>
      </c>
      <c r="AQ52" s="9">
        <v>3</v>
      </c>
      <c r="AR52" s="9">
        <v>0</v>
      </c>
      <c r="AS52" s="9">
        <v>3</v>
      </c>
      <c r="AT52" s="9">
        <v>3</v>
      </c>
      <c r="AU52" s="9">
        <v>0</v>
      </c>
      <c r="AV52" s="8">
        <v>0</v>
      </c>
      <c r="AW52" s="8">
        <v>0</v>
      </c>
      <c r="AX52" s="9">
        <v>0</v>
      </c>
      <c r="AY52" s="8">
        <v>0</v>
      </c>
      <c r="AZ52" s="8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</row>
    <row r="53" spans="1:68" ht="14.4">
      <c r="A53" s="347"/>
      <c r="B53" s="8" t="s">
        <v>588</v>
      </c>
      <c r="C53" s="8">
        <v>0</v>
      </c>
      <c r="D53" s="8">
        <v>0</v>
      </c>
      <c r="E53" s="9">
        <v>0</v>
      </c>
      <c r="F53" s="8">
        <v>0</v>
      </c>
      <c r="G53" s="8">
        <v>0</v>
      </c>
      <c r="H53" s="9">
        <v>0</v>
      </c>
      <c r="I53" s="9">
        <v>3</v>
      </c>
      <c r="J53" s="9">
        <v>3</v>
      </c>
      <c r="K53" s="9">
        <v>0</v>
      </c>
      <c r="L53" s="8">
        <v>0</v>
      </c>
      <c r="M53" s="8">
        <v>0</v>
      </c>
      <c r="N53" s="9">
        <v>0</v>
      </c>
      <c r="O53" s="9">
        <v>0</v>
      </c>
      <c r="P53" s="9">
        <v>0</v>
      </c>
      <c r="Q53" s="9">
        <v>0</v>
      </c>
      <c r="R53" s="8">
        <v>0</v>
      </c>
      <c r="S53" s="8">
        <v>0</v>
      </c>
      <c r="T53" s="9">
        <v>0</v>
      </c>
      <c r="U53" s="8">
        <v>0</v>
      </c>
      <c r="V53" s="8">
        <v>0</v>
      </c>
      <c r="W53" s="9">
        <v>0</v>
      </c>
      <c r="X53" s="8">
        <v>0</v>
      </c>
      <c r="Y53" s="8">
        <v>0</v>
      </c>
      <c r="Z53" s="9">
        <v>0</v>
      </c>
      <c r="AA53" s="9">
        <v>3</v>
      </c>
      <c r="AB53" s="9">
        <v>3</v>
      </c>
      <c r="AC53" s="9">
        <v>0</v>
      </c>
      <c r="AD53" s="8">
        <v>0</v>
      </c>
      <c r="AE53" s="8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8">
        <v>0</v>
      </c>
      <c r="AW53" s="8">
        <v>0</v>
      </c>
      <c r="AX53" s="9">
        <v>0</v>
      </c>
      <c r="AY53" s="8">
        <v>0</v>
      </c>
      <c r="AZ53" s="8">
        <v>0</v>
      </c>
      <c r="BA53" s="9">
        <v>0</v>
      </c>
      <c r="BB53" s="9">
        <v>0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>
        <v>0</v>
      </c>
      <c r="BO53" s="9">
        <v>0</v>
      </c>
      <c r="BP53" s="9">
        <v>0</v>
      </c>
    </row>
    <row r="54" spans="1:68" ht="14.4">
      <c r="A54" s="347"/>
      <c r="B54" s="6" t="s">
        <v>589</v>
      </c>
      <c r="C54" s="7">
        <v>3</v>
      </c>
      <c r="D54" s="7">
        <v>3</v>
      </c>
      <c r="E54" s="9">
        <f>C54-D54</f>
        <v>0</v>
      </c>
      <c r="F54" s="7">
        <v>3</v>
      </c>
      <c r="G54" s="7">
        <v>3</v>
      </c>
      <c r="H54" s="9">
        <f>F54-G54</f>
        <v>0</v>
      </c>
      <c r="I54" s="7">
        <v>3</v>
      </c>
      <c r="J54" s="7">
        <v>3</v>
      </c>
      <c r="K54" s="9">
        <f>I54-J54</f>
        <v>0</v>
      </c>
      <c r="L54" s="9">
        <v>3</v>
      </c>
      <c r="M54" s="9">
        <v>3</v>
      </c>
      <c r="N54" s="9">
        <f>L54-M54</f>
        <v>0</v>
      </c>
      <c r="O54" s="7">
        <v>3</v>
      </c>
      <c r="P54" s="7">
        <v>3</v>
      </c>
      <c r="Q54" s="9">
        <f>O54-P54</f>
        <v>0</v>
      </c>
      <c r="R54" s="9">
        <v>3</v>
      </c>
      <c r="S54" s="9">
        <v>3</v>
      </c>
      <c r="T54" s="9">
        <f>R54-S54</f>
        <v>0</v>
      </c>
      <c r="U54" s="7">
        <v>4</v>
      </c>
      <c r="V54" s="7">
        <v>4</v>
      </c>
      <c r="W54" s="9">
        <f>U54-V54</f>
        <v>0</v>
      </c>
      <c r="X54" s="9">
        <v>3</v>
      </c>
      <c r="Y54" s="9">
        <v>3</v>
      </c>
      <c r="Z54" s="9">
        <f>X54-Y54</f>
        <v>0</v>
      </c>
      <c r="AA54" s="7">
        <v>3</v>
      </c>
      <c r="AB54" s="7">
        <v>3</v>
      </c>
      <c r="AC54" s="9">
        <f>AA54-AB54</f>
        <v>0</v>
      </c>
      <c r="AD54" s="7">
        <v>3</v>
      </c>
      <c r="AE54" s="7">
        <v>3</v>
      </c>
      <c r="AF54" s="9">
        <f>AD54-AE54</f>
        <v>0</v>
      </c>
      <c r="AG54" s="9">
        <v>3</v>
      </c>
      <c r="AH54" s="9">
        <v>3</v>
      </c>
      <c r="AI54" s="9">
        <v>0</v>
      </c>
      <c r="AJ54" s="7">
        <v>3</v>
      </c>
      <c r="AK54" s="7">
        <v>3</v>
      </c>
      <c r="AL54" s="9">
        <f>AJ54-AK54</f>
        <v>0</v>
      </c>
      <c r="AM54" s="7">
        <v>3</v>
      </c>
      <c r="AN54" s="7">
        <v>3</v>
      </c>
      <c r="AO54" s="9">
        <f>AM54-AN54</f>
        <v>0</v>
      </c>
      <c r="AP54" s="7">
        <v>3</v>
      </c>
      <c r="AQ54" s="7">
        <v>3</v>
      </c>
      <c r="AR54" s="9">
        <f>AP54-AQ54</f>
        <v>0</v>
      </c>
      <c r="AS54" s="7">
        <v>3</v>
      </c>
      <c r="AT54" s="7">
        <v>3</v>
      </c>
      <c r="AU54" s="9">
        <f>AS54-AT54</f>
        <v>0</v>
      </c>
      <c r="AV54" s="7">
        <v>3</v>
      </c>
      <c r="AW54" s="7">
        <v>3</v>
      </c>
      <c r="AX54" s="9">
        <f>AV54-AW54</f>
        <v>0</v>
      </c>
      <c r="AY54" s="7">
        <v>3</v>
      </c>
      <c r="AZ54" s="7">
        <v>3</v>
      </c>
      <c r="BA54" s="9">
        <f>AY54-AZ54</f>
        <v>0</v>
      </c>
      <c r="BB54" s="7">
        <v>3</v>
      </c>
      <c r="BC54" s="7">
        <v>3</v>
      </c>
      <c r="BD54" s="9">
        <f>BB54-BC54</f>
        <v>0</v>
      </c>
      <c r="BE54" s="7">
        <v>3</v>
      </c>
      <c r="BF54" s="7">
        <v>3</v>
      </c>
      <c r="BG54" s="9">
        <f>BE54-BF54</f>
        <v>0</v>
      </c>
      <c r="BH54" s="7">
        <v>3</v>
      </c>
      <c r="BI54" s="7">
        <v>3</v>
      </c>
      <c r="BJ54" s="9">
        <f>BH54-BI54</f>
        <v>0</v>
      </c>
      <c r="BK54" s="7">
        <v>3</v>
      </c>
      <c r="BL54" s="7">
        <v>3</v>
      </c>
      <c r="BM54" s="9">
        <f>BK54-BL54</f>
        <v>0</v>
      </c>
      <c r="BN54" s="7">
        <v>3</v>
      </c>
      <c r="BO54" s="7">
        <v>3</v>
      </c>
      <c r="BP54" s="9">
        <f>BN54-BO54</f>
        <v>0</v>
      </c>
    </row>
    <row r="55" spans="1:68">
      <c r="A55" s="347"/>
      <c r="B55" s="8" t="s">
        <v>590</v>
      </c>
      <c r="C55" s="9">
        <v>3</v>
      </c>
      <c r="D55" s="9">
        <v>3</v>
      </c>
      <c r="E55" s="9">
        <v>0</v>
      </c>
      <c r="F55" s="9">
        <v>3</v>
      </c>
      <c r="G55" s="9">
        <v>3</v>
      </c>
      <c r="H55" s="9">
        <v>0</v>
      </c>
      <c r="I55" s="9">
        <v>4</v>
      </c>
      <c r="J55" s="9">
        <v>4</v>
      </c>
      <c r="K55" s="9">
        <v>0</v>
      </c>
      <c r="L55" s="9">
        <v>3</v>
      </c>
      <c r="M55" s="9">
        <v>3</v>
      </c>
      <c r="N55" s="9">
        <v>0</v>
      </c>
      <c r="O55" s="9">
        <v>3</v>
      </c>
      <c r="P55" s="9">
        <v>3</v>
      </c>
      <c r="Q55" s="9">
        <v>0</v>
      </c>
      <c r="R55" s="9">
        <v>3</v>
      </c>
      <c r="S55" s="9">
        <v>3</v>
      </c>
      <c r="T55" s="9">
        <v>0</v>
      </c>
      <c r="U55" s="9">
        <v>3</v>
      </c>
      <c r="V55" s="9">
        <v>3</v>
      </c>
      <c r="W55" s="9">
        <v>0</v>
      </c>
      <c r="X55" s="9">
        <v>3</v>
      </c>
      <c r="Y55" s="9">
        <v>3</v>
      </c>
      <c r="Z55" s="9">
        <v>0</v>
      </c>
      <c r="AA55" s="9">
        <v>4</v>
      </c>
      <c r="AB55" s="9">
        <v>4</v>
      </c>
      <c r="AC55" s="9">
        <v>0</v>
      </c>
      <c r="AD55" s="9">
        <v>3</v>
      </c>
      <c r="AE55" s="9">
        <v>3</v>
      </c>
      <c r="AF55" s="9">
        <v>0</v>
      </c>
      <c r="AG55" s="9">
        <v>3</v>
      </c>
      <c r="AH55" s="9">
        <v>3</v>
      </c>
      <c r="AI55" s="9">
        <v>0</v>
      </c>
      <c r="AJ55" s="9">
        <v>3</v>
      </c>
      <c r="AK55" s="9">
        <v>3</v>
      </c>
      <c r="AL55" s="9">
        <v>0</v>
      </c>
      <c r="AM55" s="9">
        <v>3</v>
      </c>
      <c r="AN55" s="9">
        <v>3</v>
      </c>
      <c r="AO55" s="9">
        <v>0</v>
      </c>
      <c r="AP55" s="9">
        <v>3</v>
      </c>
      <c r="AQ55" s="9">
        <v>3</v>
      </c>
      <c r="AR55" s="9">
        <v>0</v>
      </c>
      <c r="AS55" s="9">
        <v>3</v>
      </c>
      <c r="AT55" s="9">
        <v>3</v>
      </c>
      <c r="AU55" s="9">
        <v>0</v>
      </c>
      <c r="AV55" s="9">
        <v>3</v>
      </c>
      <c r="AW55" s="9">
        <v>3</v>
      </c>
      <c r="AX55" s="9">
        <v>0</v>
      </c>
      <c r="AY55" s="9">
        <v>3</v>
      </c>
      <c r="AZ55" s="9">
        <v>3</v>
      </c>
      <c r="BA55" s="9">
        <v>0</v>
      </c>
      <c r="BB55" s="9">
        <v>3</v>
      </c>
      <c r="BC55" s="9">
        <v>3</v>
      </c>
      <c r="BD55" s="9">
        <v>0</v>
      </c>
      <c r="BE55" s="9">
        <v>3</v>
      </c>
      <c r="BF55" s="9">
        <v>3</v>
      </c>
      <c r="BG55" s="9">
        <v>0</v>
      </c>
      <c r="BH55" s="9">
        <v>3</v>
      </c>
      <c r="BI55" s="9">
        <v>3</v>
      </c>
      <c r="BJ55" s="9">
        <v>0</v>
      </c>
      <c r="BK55" s="9">
        <v>3</v>
      </c>
      <c r="BL55" s="9">
        <v>3</v>
      </c>
      <c r="BM55" s="9">
        <v>0</v>
      </c>
      <c r="BN55" s="9">
        <v>3</v>
      </c>
      <c r="BO55" s="9">
        <v>3</v>
      </c>
      <c r="BP55" s="9">
        <v>0</v>
      </c>
    </row>
    <row r="56" spans="1:68">
      <c r="A56" s="350" t="s">
        <v>474</v>
      </c>
      <c r="B56" s="8" t="s">
        <v>476</v>
      </c>
      <c r="C56" s="8">
        <v>3</v>
      </c>
      <c r="D56" s="8">
        <v>3</v>
      </c>
      <c r="E56" s="9">
        <v>0</v>
      </c>
      <c r="F56" s="8">
        <v>3</v>
      </c>
      <c r="G56" s="8">
        <v>3</v>
      </c>
      <c r="H56" s="9">
        <v>0</v>
      </c>
      <c r="I56" s="9">
        <v>4</v>
      </c>
      <c r="J56" s="9">
        <v>4</v>
      </c>
      <c r="K56" s="9">
        <v>0</v>
      </c>
      <c r="L56" s="9">
        <v>3</v>
      </c>
      <c r="M56" s="9">
        <v>3</v>
      </c>
      <c r="N56" s="9">
        <v>0</v>
      </c>
      <c r="O56" s="9">
        <v>3</v>
      </c>
      <c r="P56" s="9">
        <v>3</v>
      </c>
      <c r="Q56" s="9">
        <v>0</v>
      </c>
      <c r="R56" s="9">
        <v>3</v>
      </c>
      <c r="S56" s="9">
        <v>3</v>
      </c>
      <c r="T56" s="9">
        <v>0</v>
      </c>
      <c r="U56" s="9">
        <v>3</v>
      </c>
      <c r="V56" s="9">
        <v>3</v>
      </c>
      <c r="W56" s="9">
        <v>0</v>
      </c>
      <c r="X56" s="9">
        <v>3</v>
      </c>
      <c r="Y56" s="9">
        <v>3</v>
      </c>
      <c r="Z56" s="9">
        <v>0</v>
      </c>
      <c r="AA56" s="9">
        <v>4</v>
      </c>
      <c r="AB56" s="9">
        <v>4</v>
      </c>
      <c r="AC56" s="9">
        <v>0</v>
      </c>
      <c r="AD56" s="9">
        <v>3</v>
      </c>
      <c r="AE56" s="9">
        <v>3</v>
      </c>
      <c r="AF56" s="9">
        <v>0</v>
      </c>
      <c r="AG56" s="9">
        <v>3</v>
      </c>
      <c r="AH56" s="9">
        <v>3</v>
      </c>
      <c r="AI56" s="9">
        <v>0</v>
      </c>
      <c r="AJ56" s="9">
        <v>3</v>
      </c>
      <c r="AK56" s="9">
        <v>3</v>
      </c>
      <c r="AL56" s="9">
        <v>0</v>
      </c>
      <c r="AM56" s="9">
        <v>3</v>
      </c>
      <c r="AN56" s="9">
        <v>3</v>
      </c>
      <c r="AO56" s="9">
        <v>0</v>
      </c>
      <c r="AP56" s="9">
        <v>3</v>
      </c>
      <c r="AQ56" s="9">
        <v>3</v>
      </c>
      <c r="AR56" s="9">
        <v>0</v>
      </c>
      <c r="AS56" s="9">
        <v>3</v>
      </c>
      <c r="AT56" s="9">
        <v>3</v>
      </c>
      <c r="AU56" s="9">
        <v>0</v>
      </c>
      <c r="AV56" s="9">
        <v>3</v>
      </c>
      <c r="AW56" s="9">
        <v>3</v>
      </c>
      <c r="AX56" s="9">
        <v>0</v>
      </c>
      <c r="AY56" s="9">
        <v>3</v>
      </c>
      <c r="AZ56" s="9">
        <v>3</v>
      </c>
      <c r="BA56" s="9">
        <v>0</v>
      </c>
      <c r="BB56" s="9">
        <v>3</v>
      </c>
      <c r="BC56" s="9">
        <v>3</v>
      </c>
      <c r="BD56" s="9">
        <v>0</v>
      </c>
      <c r="BE56" s="9">
        <v>3</v>
      </c>
      <c r="BF56" s="9">
        <v>3</v>
      </c>
      <c r="BG56" s="9">
        <v>0</v>
      </c>
      <c r="BH56" s="9">
        <v>3</v>
      </c>
      <c r="BI56" s="9">
        <v>3</v>
      </c>
      <c r="BJ56" s="9">
        <v>0</v>
      </c>
      <c r="BK56" s="9">
        <v>3</v>
      </c>
      <c r="BL56" s="9">
        <v>3</v>
      </c>
      <c r="BM56" s="9">
        <v>0</v>
      </c>
      <c r="BN56" s="9">
        <v>3</v>
      </c>
      <c r="BO56" s="9">
        <v>3</v>
      </c>
      <c r="BP56" s="9">
        <v>0</v>
      </c>
    </row>
    <row r="57" spans="1:68">
      <c r="A57" s="351"/>
      <c r="B57" s="8" t="s">
        <v>591</v>
      </c>
      <c r="C57" s="8">
        <v>3</v>
      </c>
      <c r="D57" s="8">
        <v>3</v>
      </c>
      <c r="E57" s="9">
        <v>0</v>
      </c>
      <c r="F57" s="8">
        <v>3</v>
      </c>
      <c r="G57" s="8">
        <v>3</v>
      </c>
      <c r="H57" s="9">
        <v>0</v>
      </c>
      <c r="I57" s="8">
        <v>3</v>
      </c>
      <c r="J57" s="8">
        <v>3</v>
      </c>
      <c r="K57" s="9">
        <v>0</v>
      </c>
      <c r="L57" s="8">
        <v>3</v>
      </c>
      <c r="M57" s="8">
        <v>3</v>
      </c>
      <c r="N57" s="9">
        <v>0</v>
      </c>
      <c r="O57" s="8">
        <v>3</v>
      </c>
      <c r="P57" s="8">
        <v>3</v>
      </c>
      <c r="Q57" s="9">
        <v>0</v>
      </c>
      <c r="R57" s="9">
        <v>3</v>
      </c>
      <c r="S57" s="9">
        <v>3</v>
      </c>
      <c r="T57" s="9">
        <v>0</v>
      </c>
      <c r="U57" s="9">
        <v>3</v>
      </c>
      <c r="V57" s="9">
        <v>3</v>
      </c>
      <c r="W57" s="9">
        <v>0</v>
      </c>
      <c r="X57" s="9">
        <v>3</v>
      </c>
      <c r="Y57" s="9">
        <v>3</v>
      </c>
      <c r="Z57" s="9">
        <v>0</v>
      </c>
      <c r="AA57" s="8">
        <v>3</v>
      </c>
      <c r="AB57" s="8">
        <v>3</v>
      </c>
      <c r="AC57" s="9">
        <v>0</v>
      </c>
      <c r="AD57" s="8">
        <v>3</v>
      </c>
      <c r="AE57" s="8">
        <v>3</v>
      </c>
      <c r="AF57" s="9">
        <v>0</v>
      </c>
      <c r="AG57" s="8">
        <v>3</v>
      </c>
      <c r="AH57" s="8">
        <v>3</v>
      </c>
      <c r="AI57" s="9">
        <v>0</v>
      </c>
      <c r="AJ57" s="8">
        <v>3</v>
      </c>
      <c r="AK57" s="8">
        <v>3</v>
      </c>
      <c r="AL57" s="9">
        <v>0</v>
      </c>
      <c r="AM57" s="8">
        <v>3</v>
      </c>
      <c r="AN57" s="8">
        <v>3</v>
      </c>
      <c r="AO57" s="9">
        <v>0</v>
      </c>
      <c r="AP57" s="8">
        <v>3</v>
      </c>
      <c r="AQ57" s="8">
        <v>3</v>
      </c>
      <c r="AR57" s="9">
        <v>0</v>
      </c>
      <c r="AS57" s="8">
        <v>3</v>
      </c>
      <c r="AT57" s="8">
        <v>3</v>
      </c>
      <c r="AU57" s="9">
        <v>0</v>
      </c>
      <c r="AV57" s="8">
        <v>3</v>
      </c>
      <c r="AW57" s="8">
        <v>3</v>
      </c>
      <c r="AX57" s="9">
        <v>0</v>
      </c>
      <c r="AY57" s="8">
        <v>3</v>
      </c>
      <c r="AZ57" s="8">
        <v>3</v>
      </c>
      <c r="BA57" s="9">
        <v>0</v>
      </c>
      <c r="BB57" s="8">
        <v>3</v>
      </c>
      <c r="BC57" s="8">
        <v>3</v>
      </c>
      <c r="BD57" s="9">
        <v>0</v>
      </c>
      <c r="BE57" s="8">
        <v>3</v>
      </c>
      <c r="BF57" s="8">
        <v>3</v>
      </c>
      <c r="BG57" s="9">
        <v>0</v>
      </c>
      <c r="BH57" s="8">
        <v>3</v>
      </c>
      <c r="BI57" s="8">
        <v>3</v>
      </c>
      <c r="BJ57" s="9">
        <v>0</v>
      </c>
      <c r="BK57" s="8">
        <v>3</v>
      </c>
      <c r="BL57" s="8">
        <v>3</v>
      </c>
      <c r="BM57" s="9">
        <v>0</v>
      </c>
      <c r="BN57" s="8">
        <v>3</v>
      </c>
      <c r="BO57" s="8">
        <v>3</v>
      </c>
      <c r="BP57" s="9">
        <v>0</v>
      </c>
    </row>
    <row r="58" spans="1:68">
      <c r="A58" s="351"/>
      <c r="B58" s="8" t="s">
        <v>475</v>
      </c>
      <c r="C58" s="8">
        <v>3</v>
      </c>
      <c r="D58" s="8">
        <v>3</v>
      </c>
      <c r="E58" s="9">
        <v>0</v>
      </c>
      <c r="F58" s="8">
        <v>3</v>
      </c>
      <c r="G58" s="8">
        <v>3</v>
      </c>
      <c r="H58" s="9">
        <v>0</v>
      </c>
      <c r="I58" s="8">
        <v>4</v>
      </c>
      <c r="J58" s="8">
        <v>4</v>
      </c>
      <c r="K58" s="9">
        <v>0</v>
      </c>
      <c r="L58" s="8">
        <v>3</v>
      </c>
      <c r="M58" s="8">
        <v>3</v>
      </c>
      <c r="N58" s="9">
        <v>0</v>
      </c>
      <c r="O58" s="8">
        <v>3</v>
      </c>
      <c r="P58" s="8">
        <v>3</v>
      </c>
      <c r="Q58" s="9">
        <v>0</v>
      </c>
      <c r="R58" s="9">
        <v>3</v>
      </c>
      <c r="S58" s="9">
        <v>3</v>
      </c>
      <c r="T58" s="9">
        <v>0</v>
      </c>
      <c r="U58" s="9">
        <v>3</v>
      </c>
      <c r="V58" s="9">
        <v>3</v>
      </c>
      <c r="W58" s="9">
        <v>0</v>
      </c>
      <c r="X58" s="9">
        <v>3</v>
      </c>
      <c r="Y58" s="9">
        <v>3</v>
      </c>
      <c r="Z58" s="9">
        <v>0</v>
      </c>
      <c r="AA58" s="8">
        <v>4</v>
      </c>
      <c r="AB58" s="8">
        <v>4</v>
      </c>
      <c r="AC58" s="9">
        <v>0</v>
      </c>
      <c r="AD58" s="8">
        <v>3</v>
      </c>
      <c r="AE58" s="8">
        <v>3</v>
      </c>
      <c r="AF58" s="9">
        <v>0</v>
      </c>
      <c r="AG58" s="8">
        <v>3</v>
      </c>
      <c r="AH58" s="8">
        <v>3</v>
      </c>
      <c r="AI58" s="9">
        <v>0</v>
      </c>
      <c r="AJ58" s="8">
        <v>3</v>
      </c>
      <c r="AK58" s="8">
        <v>3</v>
      </c>
      <c r="AL58" s="9">
        <v>0</v>
      </c>
      <c r="AM58" s="8">
        <v>3</v>
      </c>
      <c r="AN58" s="8">
        <v>3</v>
      </c>
      <c r="AO58" s="9">
        <v>0</v>
      </c>
      <c r="AP58" s="8">
        <v>3</v>
      </c>
      <c r="AQ58" s="8">
        <v>3</v>
      </c>
      <c r="AR58" s="9">
        <v>0</v>
      </c>
      <c r="AS58" s="8">
        <v>3</v>
      </c>
      <c r="AT58" s="8">
        <v>3</v>
      </c>
      <c r="AU58" s="9">
        <v>0</v>
      </c>
      <c r="AV58" s="8">
        <v>3</v>
      </c>
      <c r="AW58" s="8">
        <v>3</v>
      </c>
      <c r="AX58" s="9">
        <v>0</v>
      </c>
      <c r="AY58" s="8">
        <v>3</v>
      </c>
      <c r="AZ58" s="8">
        <v>3</v>
      </c>
      <c r="BA58" s="9">
        <v>0</v>
      </c>
      <c r="BB58" s="8">
        <v>3</v>
      </c>
      <c r="BC58" s="8">
        <v>3</v>
      </c>
      <c r="BD58" s="9">
        <v>0</v>
      </c>
      <c r="BE58" s="8">
        <v>3</v>
      </c>
      <c r="BF58" s="8">
        <v>3</v>
      </c>
      <c r="BG58" s="9">
        <v>0</v>
      </c>
      <c r="BH58" s="8">
        <v>3</v>
      </c>
      <c r="BI58" s="8">
        <v>3</v>
      </c>
      <c r="BJ58" s="9">
        <v>0</v>
      </c>
      <c r="BK58" s="8">
        <v>3</v>
      </c>
      <c r="BL58" s="8">
        <v>3</v>
      </c>
      <c r="BM58" s="9">
        <v>0</v>
      </c>
      <c r="BN58" s="8">
        <v>3</v>
      </c>
      <c r="BO58" s="8">
        <v>3</v>
      </c>
      <c r="BP58" s="9">
        <v>0</v>
      </c>
    </row>
    <row r="59" spans="1:68">
      <c r="A59" s="351"/>
      <c r="B59" s="8" t="s">
        <v>592</v>
      </c>
      <c r="C59" s="8">
        <v>3</v>
      </c>
      <c r="D59" s="8">
        <v>3</v>
      </c>
      <c r="E59" s="9">
        <v>0</v>
      </c>
      <c r="F59" s="8">
        <v>3</v>
      </c>
      <c r="G59" s="8">
        <v>3</v>
      </c>
      <c r="H59" s="9">
        <v>0</v>
      </c>
      <c r="I59" s="8">
        <v>4</v>
      </c>
      <c r="J59" s="8">
        <v>4</v>
      </c>
      <c r="K59" s="9">
        <v>0</v>
      </c>
      <c r="L59" s="8">
        <v>3</v>
      </c>
      <c r="M59" s="8">
        <v>3</v>
      </c>
      <c r="N59" s="9">
        <v>0</v>
      </c>
      <c r="O59" s="8">
        <v>3</v>
      </c>
      <c r="P59" s="8">
        <v>3</v>
      </c>
      <c r="Q59" s="9">
        <v>0</v>
      </c>
      <c r="R59" s="9">
        <v>3</v>
      </c>
      <c r="S59" s="9">
        <v>3</v>
      </c>
      <c r="T59" s="9">
        <v>0</v>
      </c>
      <c r="U59" s="9">
        <v>3</v>
      </c>
      <c r="V59" s="9">
        <v>3</v>
      </c>
      <c r="W59" s="9">
        <v>0</v>
      </c>
      <c r="X59" s="9">
        <v>3</v>
      </c>
      <c r="Y59" s="9">
        <v>3</v>
      </c>
      <c r="Z59" s="9">
        <v>0</v>
      </c>
      <c r="AA59" s="8">
        <v>4</v>
      </c>
      <c r="AB59" s="8">
        <v>4</v>
      </c>
      <c r="AC59" s="9">
        <v>0</v>
      </c>
      <c r="AD59" s="8">
        <v>3</v>
      </c>
      <c r="AE59" s="8">
        <v>3</v>
      </c>
      <c r="AF59" s="9">
        <v>0</v>
      </c>
      <c r="AG59" s="8">
        <v>3</v>
      </c>
      <c r="AH59" s="8">
        <v>3</v>
      </c>
      <c r="AI59" s="9">
        <v>0</v>
      </c>
      <c r="AJ59" s="8">
        <v>3</v>
      </c>
      <c r="AK59" s="8">
        <v>3</v>
      </c>
      <c r="AL59" s="9">
        <v>0</v>
      </c>
      <c r="AM59" s="8">
        <v>3</v>
      </c>
      <c r="AN59" s="8">
        <v>3</v>
      </c>
      <c r="AO59" s="9">
        <v>0</v>
      </c>
      <c r="AP59" s="8">
        <v>3</v>
      </c>
      <c r="AQ59" s="8">
        <v>3</v>
      </c>
      <c r="AR59" s="9">
        <v>0</v>
      </c>
      <c r="AS59" s="8">
        <v>3</v>
      </c>
      <c r="AT59" s="8">
        <v>3</v>
      </c>
      <c r="AU59" s="9">
        <v>0</v>
      </c>
      <c r="AV59" s="8">
        <v>3</v>
      </c>
      <c r="AW59" s="8">
        <v>3</v>
      </c>
      <c r="AX59" s="9">
        <v>0</v>
      </c>
      <c r="AY59" s="8">
        <v>3</v>
      </c>
      <c r="AZ59" s="8">
        <v>3</v>
      </c>
      <c r="BA59" s="9">
        <v>0</v>
      </c>
      <c r="BB59" s="8">
        <v>3</v>
      </c>
      <c r="BC59" s="8">
        <v>3</v>
      </c>
      <c r="BD59" s="9">
        <v>0</v>
      </c>
      <c r="BE59" s="8">
        <v>3</v>
      </c>
      <c r="BF59" s="8">
        <v>3</v>
      </c>
      <c r="BG59" s="9">
        <v>0</v>
      </c>
      <c r="BH59" s="8">
        <v>3</v>
      </c>
      <c r="BI59" s="8">
        <v>3</v>
      </c>
      <c r="BJ59" s="9">
        <v>0</v>
      </c>
      <c r="BK59" s="8">
        <v>3</v>
      </c>
      <c r="BL59" s="8">
        <v>3</v>
      </c>
      <c r="BM59" s="9">
        <v>0</v>
      </c>
      <c r="BN59" s="8">
        <v>3</v>
      </c>
      <c r="BO59" s="8">
        <v>3</v>
      </c>
      <c r="BP59" s="9">
        <v>0</v>
      </c>
    </row>
    <row r="60" spans="1:68" ht="14.4">
      <c r="A60" s="351"/>
      <c r="B60" s="6" t="s">
        <v>593</v>
      </c>
      <c r="C60" s="8">
        <v>3</v>
      </c>
      <c r="D60" s="8">
        <v>3</v>
      </c>
      <c r="E60" s="9">
        <v>0</v>
      </c>
      <c r="F60" s="8">
        <v>3</v>
      </c>
      <c r="G60" s="8">
        <v>3</v>
      </c>
      <c r="H60" s="9">
        <v>0</v>
      </c>
      <c r="I60" s="8">
        <v>4</v>
      </c>
      <c r="J60" s="8">
        <v>4</v>
      </c>
      <c r="K60" s="9">
        <v>0</v>
      </c>
      <c r="L60" s="8">
        <v>3</v>
      </c>
      <c r="M60" s="8">
        <v>3</v>
      </c>
      <c r="N60" s="9">
        <v>0</v>
      </c>
      <c r="O60" s="8">
        <v>3</v>
      </c>
      <c r="P60" s="8">
        <v>3</v>
      </c>
      <c r="Q60" s="9">
        <v>0</v>
      </c>
      <c r="R60" s="9">
        <v>3</v>
      </c>
      <c r="S60" s="9">
        <v>3</v>
      </c>
      <c r="T60" s="9">
        <v>0</v>
      </c>
      <c r="U60" s="9">
        <v>3</v>
      </c>
      <c r="V60" s="9">
        <v>3</v>
      </c>
      <c r="W60" s="9">
        <v>0</v>
      </c>
      <c r="X60" s="9">
        <v>3</v>
      </c>
      <c r="Y60" s="9">
        <v>3</v>
      </c>
      <c r="Z60" s="9">
        <v>0</v>
      </c>
      <c r="AA60" s="8">
        <v>4</v>
      </c>
      <c r="AB60" s="8">
        <v>4</v>
      </c>
      <c r="AC60" s="9">
        <v>0</v>
      </c>
      <c r="AD60" s="8">
        <v>3</v>
      </c>
      <c r="AE60" s="8">
        <v>3</v>
      </c>
      <c r="AF60" s="9">
        <v>0</v>
      </c>
      <c r="AG60" s="8">
        <v>3</v>
      </c>
      <c r="AH60" s="8">
        <v>3</v>
      </c>
      <c r="AI60" s="9">
        <v>0</v>
      </c>
      <c r="AJ60" s="8">
        <v>3</v>
      </c>
      <c r="AK60" s="8">
        <v>3</v>
      </c>
      <c r="AL60" s="9">
        <v>0</v>
      </c>
      <c r="AM60" s="8">
        <v>3</v>
      </c>
      <c r="AN60" s="8">
        <v>3</v>
      </c>
      <c r="AO60" s="9">
        <v>0</v>
      </c>
      <c r="AP60" s="8">
        <v>3</v>
      </c>
      <c r="AQ60" s="8">
        <v>3</v>
      </c>
      <c r="AR60" s="9">
        <v>0</v>
      </c>
      <c r="AS60" s="8">
        <v>3</v>
      </c>
      <c r="AT60" s="8">
        <v>3</v>
      </c>
      <c r="AU60" s="9">
        <v>0</v>
      </c>
      <c r="AV60" s="8">
        <v>3</v>
      </c>
      <c r="AW60" s="8">
        <v>3</v>
      </c>
      <c r="AX60" s="9">
        <v>0</v>
      </c>
      <c r="AY60" s="8">
        <v>3</v>
      </c>
      <c r="AZ60" s="8">
        <v>3</v>
      </c>
      <c r="BA60" s="9">
        <v>0</v>
      </c>
      <c r="BB60" s="8">
        <v>3</v>
      </c>
      <c r="BC60" s="8">
        <v>3</v>
      </c>
      <c r="BD60" s="9">
        <v>0</v>
      </c>
      <c r="BE60" s="8">
        <v>3</v>
      </c>
      <c r="BF60" s="8">
        <v>3</v>
      </c>
      <c r="BG60" s="9">
        <v>0</v>
      </c>
      <c r="BH60" s="8">
        <v>3</v>
      </c>
      <c r="BI60" s="8">
        <v>3</v>
      </c>
      <c r="BJ60" s="9">
        <v>0</v>
      </c>
      <c r="BK60" s="8">
        <v>3</v>
      </c>
      <c r="BL60" s="8">
        <v>3</v>
      </c>
      <c r="BM60" s="9">
        <v>0</v>
      </c>
      <c r="BN60" s="8">
        <v>3</v>
      </c>
      <c r="BO60" s="8">
        <v>3</v>
      </c>
      <c r="BP60" s="9">
        <v>0</v>
      </c>
    </row>
    <row r="61" spans="1:68">
      <c r="A61" s="352"/>
      <c r="B61" s="8" t="s">
        <v>594</v>
      </c>
      <c r="C61" s="8">
        <v>3</v>
      </c>
      <c r="D61" s="8">
        <v>3</v>
      </c>
      <c r="E61" s="9">
        <v>0</v>
      </c>
      <c r="F61" s="8">
        <v>3</v>
      </c>
      <c r="G61" s="8">
        <v>3</v>
      </c>
      <c r="H61" s="9">
        <v>0</v>
      </c>
      <c r="I61" s="8">
        <v>4</v>
      </c>
      <c r="J61" s="8">
        <v>4</v>
      </c>
      <c r="K61" s="9">
        <v>0</v>
      </c>
      <c r="L61" s="8">
        <v>3</v>
      </c>
      <c r="M61" s="8">
        <v>3</v>
      </c>
      <c r="N61" s="9">
        <v>0</v>
      </c>
      <c r="O61" s="8">
        <v>3</v>
      </c>
      <c r="P61" s="8">
        <v>3</v>
      </c>
      <c r="Q61" s="9">
        <v>0</v>
      </c>
      <c r="R61" s="9">
        <v>3</v>
      </c>
      <c r="S61" s="9">
        <v>3</v>
      </c>
      <c r="T61" s="9">
        <v>0</v>
      </c>
      <c r="U61" s="9">
        <v>3</v>
      </c>
      <c r="V61" s="9">
        <v>3</v>
      </c>
      <c r="W61" s="9">
        <v>0</v>
      </c>
      <c r="X61" s="9">
        <v>3</v>
      </c>
      <c r="Y61" s="9">
        <v>3</v>
      </c>
      <c r="Z61" s="9">
        <v>0</v>
      </c>
      <c r="AA61" s="8">
        <v>4</v>
      </c>
      <c r="AB61" s="8">
        <v>4</v>
      </c>
      <c r="AC61" s="9">
        <v>0</v>
      </c>
      <c r="AD61" s="8">
        <v>3</v>
      </c>
      <c r="AE61" s="8">
        <v>3</v>
      </c>
      <c r="AF61" s="9">
        <v>0</v>
      </c>
      <c r="AG61" s="8">
        <v>3</v>
      </c>
      <c r="AH61" s="8">
        <v>3</v>
      </c>
      <c r="AI61" s="9">
        <v>0</v>
      </c>
      <c r="AJ61" s="8">
        <v>3</v>
      </c>
      <c r="AK61" s="8">
        <v>3</v>
      </c>
      <c r="AL61" s="9">
        <v>0</v>
      </c>
      <c r="AM61" s="8">
        <v>3</v>
      </c>
      <c r="AN61" s="8">
        <v>3</v>
      </c>
      <c r="AO61" s="9">
        <v>0</v>
      </c>
      <c r="AP61" s="8">
        <v>3</v>
      </c>
      <c r="AQ61" s="8">
        <v>3</v>
      </c>
      <c r="AR61" s="9">
        <v>0</v>
      </c>
      <c r="AS61" s="8">
        <v>3</v>
      </c>
      <c r="AT61" s="8">
        <v>3</v>
      </c>
      <c r="AU61" s="9">
        <v>0</v>
      </c>
      <c r="AV61" s="8">
        <v>3</v>
      </c>
      <c r="AW61" s="8">
        <v>3</v>
      </c>
      <c r="AX61" s="9">
        <v>0</v>
      </c>
      <c r="AY61" s="8">
        <v>3</v>
      </c>
      <c r="AZ61" s="8">
        <v>3</v>
      </c>
      <c r="BA61" s="9">
        <v>0</v>
      </c>
      <c r="BB61" s="8">
        <v>3</v>
      </c>
      <c r="BC61" s="8">
        <v>3</v>
      </c>
      <c r="BD61" s="9">
        <v>0</v>
      </c>
      <c r="BE61" s="8">
        <v>3</v>
      </c>
      <c r="BF61" s="8">
        <v>3</v>
      </c>
      <c r="BG61" s="9">
        <v>0</v>
      </c>
      <c r="BH61" s="8">
        <v>3</v>
      </c>
      <c r="BI61" s="8">
        <v>3</v>
      </c>
      <c r="BJ61" s="9">
        <v>0</v>
      </c>
      <c r="BK61" s="8">
        <v>3</v>
      </c>
      <c r="BL61" s="8">
        <v>3</v>
      </c>
      <c r="BM61" s="9">
        <v>0</v>
      </c>
      <c r="BN61" s="8">
        <v>3</v>
      </c>
      <c r="BO61" s="8">
        <v>3</v>
      </c>
      <c r="BP61" s="9">
        <v>0</v>
      </c>
    </row>
    <row r="62" spans="1:68">
      <c r="A62" s="22"/>
      <c r="B62" s="22"/>
      <c r="C62" s="23"/>
      <c r="D62" s="23"/>
      <c r="E62" s="24"/>
      <c r="F62" s="23"/>
      <c r="G62" s="23"/>
      <c r="H62" s="24"/>
      <c r="I62" s="24"/>
      <c r="J62" s="24"/>
      <c r="K62" s="24"/>
      <c r="L62" s="24"/>
      <c r="M62" s="24"/>
      <c r="N62" s="24"/>
      <c r="O62" s="23"/>
      <c r="P62" s="23"/>
      <c r="Q62" s="24"/>
      <c r="R62" s="23"/>
      <c r="S62" s="23"/>
      <c r="T62" s="24"/>
      <c r="U62" s="23"/>
      <c r="V62" s="23"/>
      <c r="W62" s="24"/>
      <c r="X62" s="23"/>
      <c r="Y62" s="23"/>
      <c r="Z62" s="24"/>
      <c r="AA62" s="23"/>
      <c r="AB62" s="23"/>
      <c r="AC62" s="24"/>
      <c r="AD62" s="23"/>
      <c r="AE62" s="23"/>
      <c r="AF62" s="24"/>
      <c r="AG62" s="23"/>
      <c r="AH62" s="23"/>
      <c r="AI62" s="24"/>
      <c r="AJ62" s="23"/>
      <c r="AK62" s="23"/>
      <c r="AL62" s="24"/>
      <c r="AM62" s="23"/>
      <c r="AN62" s="23"/>
      <c r="AO62" s="24"/>
      <c r="AP62" s="23"/>
      <c r="AQ62" s="23"/>
      <c r="AR62" s="24"/>
      <c r="AS62" s="23"/>
      <c r="AT62" s="23"/>
      <c r="AU62" s="24"/>
      <c r="AV62" s="24"/>
      <c r="AW62" s="24"/>
      <c r="AX62" s="24"/>
      <c r="AY62" s="24"/>
      <c r="AZ62" s="24"/>
      <c r="BA62" s="24"/>
      <c r="BB62" s="23"/>
      <c r="BC62" s="23"/>
      <c r="BD62" s="24"/>
      <c r="BE62" s="23"/>
      <c r="BF62" s="23"/>
      <c r="BG62" s="24"/>
      <c r="BH62" s="23"/>
      <c r="BI62" s="23"/>
      <c r="BJ62" s="24"/>
      <c r="BK62" s="23"/>
      <c r="BL62" s="23"/>
      <c r="BM62" s="24"/>
    </row>
    <row r="63" spans="1:68">
      <c r="A63" s="22"/>
      <c r="B63" s="22"/>
      <c r="C63" s="23"/>
      <c r="D63" s="23"/>
      <c r="E63" s="24"/>
      <c r="F63" s="23"/>
      <c r="G63" s="23"/>
      <c r="H63" s="24"/>
      <c r="I63" s="24"/>
      <c r="J63" s="24"/>
      <c r="K63" s="24"/>
      <c r="L63" s="24"/>
      <c r="M63" s="24"/>
      <c r="N63" s="24"/>
      <c r="O63" s="23"/>
      <c r="P63" s="23"/>
      <c r="Q63" s="24"/>
      <c r="R63" s="23"/>
      <c r="S63" s="23"/>
      <c r="T63" s="24"/>
      <c r="U63" s="23"/>
      <c r="V63" s="23"/>
      <c r="W63" s="24"/>
      <c r="X63" s="23"/>
      <c r="Y63" s="23"/>
      <c r="Z63" s="24"/>
      <c r="AA63" s="23"/>
      <c r="AB63" s="23"/>
      <c r="AC63" s="24"/>
      <c r="AD63" s="23"/>
      <c r="AE63" s="23"/>
      <c r="AF63" s="24"/>
      <c r="AG63" s="23"/>
      <c r="AH63" s="23"/>
      <c r="AI63" s="24"/>
      <c r="AJ63" s="23"/>
      <c r="AK63" s="23"/>
      <c r="AL63" s="24"/>
      <c r="AM63" s="23"/>
      <c r="AN63" s="23"/>
      <c r="AO63" s="24"/>
      <c r="AP63" s="23"/>
      <c r="AQ63" s="23"/>
      <c r="AR63" s="24"/>
      <c r="AS63" s="23"/>
      <c r="AT63" s="23"/>
      <c r="AU63" s="24"/>
      <c r="AV63" s="24"/>
      <c r="AW63" s="24"/>
      <c r="AX63" s="24"/>
      <c r="AY63" s="24"/>
      <c r="AZ63" s="24"/>
      <c r="BA63" s="24"/>
      <c r="BB63" s="23"/>
      <c r="BC63" s="23"/>
      <c r="BD63" s="24"/>
      <c r="BE63" s="23"/>
      <c r="BF63" s="23"/>
      <c r="BG63" s="24"/>
      <c r="BH63" s="23"/>
      <c r="BI63" s="23"/>
      <c r="BJ63" s="24"/>
      <c r="BK63" s="23"/>
      <c r="BL63" s="23"/>
      <c r="BM63" s="24"/>
    </row>
    <row r="64" spans="1:68">
      <c r="A64" s="22"/>
      <c r="B64" s="22"/>
      <c r="C64" s="23"/>
      <c r="D64" s="23"/>
      <c r="E64" s="24"/>
      <c r="F64" s="23"/>
      <c r="G64" s="23"/>
      <c r="H64" s="24"/>
      <c r="I64" s="24"/>
      <c r="J64" s="24"/>
      <c r="K64" s="24"/>
      <c r="L64" s="24"/>
      <c r="M64" s="24"/>
      <c r="N64" s="24"/>
      <c r="O64" s="23"/>
      <c r="P64" s="23"/>
      <c r="Q64" s="24"/>
      <c r="R64" s="23"/>
      <c r="S64" s="23"/>
      <c r="T64" s="24"/>
      <c r="U64" s="23"/>
      <c r="V64" s="23"/>
      <c r="W64" s="24"/>
      <c r="X64" s="23"/>
      <c r="Y64" s="23"/>
      <c r="Z64" s="24"/>
      <c r="AA64" s="23"/>
      <c r="AB64" s="23"/>
      <c r="AC64" s="24"/>
      <c r="AD64" s="23"/>
      <c r="AE64" s="23"/>
      <c r="AF64" s="24"/>
      <c r="AG64" s="23"/>
      <c r="AH64" s="23"/>
      <c r="AI64" s="24"/>
      <c r="AJ64" s="23"/>
      <c r="AK64" s="23"/>
      <c r="AL64" s="24"/>
      <c r="AM64" s="23"/>
      <c r="AN64" s="23"/>
      <c r="AO64" s="24"/>
      <c r="AP64" s="23"/>
      <c r="AQ64" s="23"/>
      <c r="AR64" s="24"/>
      <c r="AS64" s="23"/>
      <c r="AT64" s="23"/>
      <c r="AU64" s="24"/>
      <c r="AV64" s="24"/>
      <c r="AW64" s="24"/>
      <c r="AX64" s="24"/>
      <c r="AY64" s="24"/>
      <c r="AZ64" s="24"/>
      <c r="BA64" s="24"/>
      <c r="BB64" s="23"/>
      <c r="BC64" s="23"/>
      <c r="BD64" s="24"/>
      <c r="BE64" s="23"/>
      <c r="BF64" s="23"/>
      <c r="BG64" s="24"/>
      <c r="BH64" s="23"/>
      <c r="BI64" s="23"/>
      <c r="BJ64" s="24"/>
      <c r="BK64" s="23"/>
      <c r="BL64" s="23"/>
      <c r="BM64" s="24"/>
    </row>
    <row r="65" spans="1: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</row>
    <row r="66" spans="1:6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</row>
    <row r="67" spans="1:6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</row>
    <row r="68" spans="1:6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</row>
    <row r="69" spans="1:6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</row>
    <row r="70" spans="1:6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</row>
    <row r="71" spans="1:6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</row>
    <row r="72" spans="1:6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</row>
    <row r="73" spans="1:6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</row>
    <row r="74" spans="1:6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</row>
    <row r="75" spans="1:6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</row>
    <row r="76" spans="1:6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</row>
    <row r="77" spans="1:6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</row>
    <row r="78" spans="1:6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</row>
    <row r="79" spans="1:6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</row>
    <row r="80" spans="1:6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</row>
    <row r="81" spans="1:6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</row>
    <row r="82" spans="1:6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</row>
    <row r="83" spans="1:6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</row>
    <row r="84" spans="1:6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</row>
    <row r="85" spans="1:6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</row>
    <row r="86" spans="1:6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</row>
    <row r="87" spans="1:6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</row>
    <row r="88" spans="1:6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</row>
    <row r="89" spans="1:6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</row>
    <row r="90" spans="1:6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</row>
    <row r="91" spans="1:6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</row>
    <row r="92" spans="1:6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</row>
    <row r="93" spans="1:6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</row>
    <row r="94" spans="1:6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</row>
    <row r="95" spans="1:6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</row>
    <row r="96" spans="1:6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</row>
    <row r="97" spans="1:6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</row>
    <row r="98" spans="1:6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</row>
    <row r="99" spans="1:6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</row>
    <row r="100" spans="1:6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</row>
    <row r="101" spans="1:6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</row>
    <row r="102" spans="1:6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</row>
    <row r="103" spans="1:6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</row>
    <row r="104" spans="1:6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</row>
    <row r="105" spans="1:6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</row>
    <row r="106" spans="1:6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</row>
    <row r="107" spans="1:6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</row>
    <row r="108" spans="1:6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</row>
    <row r="109" spans="1:6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</row>
    <row r="110" spans="1:6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</row>
    <row r="111" spans="1:6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</row>
    <row r="112" spans="1:6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</row>
    <row r="113" spans="1:6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</row>
    <row r="114" spans="1:6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</row>
    <row r="115" spans="1:6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</row>
    <row r="116" spans="1:6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</row>
    <row r="117" spans="1:6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</row>
    <row r="118" spans="1:6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</row>
    <row r="119" spans="1:6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</row>
    <row r="120" spans="1:6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</row>
    <row r="121" spans="1:6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</row>
    <row r="122" spans="1:6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</row>
    <row r="123" spans="1:6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</row>
    <row r="124" spans="1:6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</row>
    <row r="125" spans="1:6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</row>
    <row r="126" spans="1:6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</row>
    <row r="127" spans="1:6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</row>
    <row r="128" spans="1:6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</row>
    <row r="129" spans="1:6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</row>
    <row r="130" spans="1:6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</row>
    <row r="131" spans="1:6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</row>
    <row r="132" spans="1:6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</row>
    <row r="133" spans="1:6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</row>
    <row r="134" spans="1:6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</row>
    <row r="135" spans="1:6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</row>
    <row r="136" spans="1:6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</row>
    <row r="137" spans="1:6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</row>
    <row r="138" spans="1:6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</row>
    <row r="139" spans="1:6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</row>
    <row r="140" spans="1:6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</row>
    <row r="141" spans="1:6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</row>
    <row r="142" spans="1:6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</row>
    <row r="143" spans="1:6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</row>
    <row r="144" spans="1:6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</row>
    <row r="145" spans="1:6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</row>
    <row r="146" spans="1:6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</row>
    <row r="147" spans="1:6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</row>
    <row r="148" spans="1:6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</row>
    <row r="149" spans="1:6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</row>
    <row r="150" spans="1:6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</row>
    <row r="151" spans="1:6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</row>
    <row r="152" spans="1:6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</row>
    <row r="153" spans="1:6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</row>
    <row r="154" spans="1:6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</row>
    <row r="155" spans="1:6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</row>
    <row r="156" spans="1:6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</row>
    <row r="157" spans="1:6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</row>
    <row r="158" spans="1:6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</row>
    <row r="159" spans="1:6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</row>
    <row r="160" spans="1:6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</row>
    <row r="161" spans="1:6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</row>
    <row r="162" spans="1:6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</row>
    <row r="163" spans="1:6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</row>
    <row r="164" spans="1:6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</row>
    <row r="165" spans="1: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</row>
    <row r="166" spans="1:6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</row>
    <row r="167" spans="1:6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</row>
    <row r="168" spans="1:6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</row>
    <row r="169" spans="1:6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</row>
    <row r="170" spans="1:6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</row>
    <row r="171" spans="1:6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</row>
    <row r="172" spans="1:6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</row>
    <row r="173" spans="1:6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</row>
    <row r="174" spans="1:6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</row>
    <row r="175" spans="1:6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</row>
    <row r="176" spans="1:6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</row>
    <row r="177" spans="1:6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</row>
    <row r="178" spans="1:6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</row>
    <row r="179" spans="1:6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</row>
    <row r="180" spans="1:6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</row>
    <row r="181" spans="1:6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</row>
    <row r="182" spans="1:6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</row>
    <row r="183" spans="1:6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</row>
    <row r="184" spans="1:6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</row>
    <row r="185" spans="1:6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</row>
    <row r="186" spans="1:6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</row>
    <row r="187" spans="1:6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</row>
    <row r="188" spans="1:6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</row>
    <row r="189" spans="1:6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</row>
    <row r="190" spans="1:6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</row>
    <row r="191" spans="1:6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</row>
    <row r="192" spans="1:6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</row>
    <row r="193" spans="1:6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</row>
    <row r="194" spans="1:6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</row>
    <row r="195" spans="1:6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</row>
    <row r="196" spans="1:6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</row>
  </sheetData>
  <mergeCells count="52">
    <mergeCell ref="A17:A20"/>
    <mergeCell ref="A21:A29"/>
    <mergeCell ref="A30:A34"/>
    <mergeCell ref="A35:A55"/>
    <mergeCell ref="A56:A61"/>
    <mergeCell ref="BE3:BG3"/>
    <mergeCell ref="BH3:BJ3"/>
    <mergeCell ref="BK3:BM3"/>
    <mergeCell ref="BN3:BP3"/>
    <mergeCell ref="A5:A16"/>
    <mergeCell ref="A2:B4"/>
    <mergeCell ref="AP3:AR3"/>
    <mergeCell ref="AS3:AU3"/>
    <mergeCell ref="AV3:AX3"/>
    <mergeCell ref="AY3:BA3"/>
    <mergeCell ref="BB3:BD3"/>
    <mergeCell ref="BH2:BJ2"/>
    <mergeCell ref="BK2:BM2"/>
    <mergeCell ref="BN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S2:AU2"/>
    <mergeCell ref="AV2:AX2"/>
    <mergeCell ref="AY2:BA2"/>
    <mergeCell ref="BB2:BD2"/>
    <mergeCell ref="BE2:BG2"/>
    <mergeCell ref="AD2:AF2"/>
    <mergeCell ref="AG2:AI2"/>
    <mergeCell ref="AJ2:AL2"/>
    <mergeCell ref="AM2:AO2"/>
    <mergeCell ref="AP2:AR2"/>
    <mergeCell ref="O2:Q2"/>
    <mergeCell ref="R2:T2"/>
    <mergeCell ref="U2:W2"/>
    <mergeCell ref="X2:Z2"/>
    <mergeCell ref="AA2:AC2"/>
    <mergeCell ref="A1:C1"/>
    <mergeCell ref="C2:E2"/>
    <mergeCell ref="F2:H2"/>
    <mergeCell ref="I2:K2"/>
    <mergeCell ref="L2:N2"/>
  </mergeCells>
  <phoneticPr fontId="116" type="noConversion"/>
  <conditionalFormatting sqref="A1 U4:AC4">
    <cfRule type="cellIs" dxfId="24" priority="62" operator="lessThan">
      <formula>0</formula>
    </cfRule>
  </conditionalFormatting>
  <conditionalFormatting sqref="A2:B20 A21:A60 B35:B61 A62:B62">
    <cfRule type="cellIs" dxfId="23" priority="55" operator="lessThan">
      <formula>0</formula>
    </cfRule>
  </conditionalFormatting>
  <conditionalFormatting sqref="B21:B28">
    <cfRule type="cellIs" dxfId="22" priority="47" operator="lessThan">
      <formula>0</formula>
    </cfRule>
  </conditionalFormatting>
  <conditionalFormatting sqref="C2:E26 F22:H26 N23:N26">
    <cfRule type="cellIs" dxfId="21" priority="57" operator="lessThan">
      <formula>0</formula>
    </cfRule>
  </conditionalFormatting>
  <conditionalFormatting sqref="C30:E62">
    <cfRule type="cellIs" dxfId="20" priority="2" operator="lessThan">
      <formula>0</formula>
    </cfRule>
  </conditionalFormatting>
  <conditionalFormatting sqref="C27:H29 K28:Q34">
    <cfRule type="cellIs" dxfId="19" priority="46" operator="lessThan">
      <formula>0</formula>
    </cfRule>
  </conditionalFormatting>
  <conditionalFormatting sqref="F30:H34 F35:Q37 F62:BM62">
    <cfRule type="cellIs" dxfId="18" priority="49" operator="lessThan">
      <formula>0</formula>
    </cfRule>
  </conditionalFormatting>
  <conditionalFormatting sqref="F4:T18">
    <cfRule type="cellIs" dxfId="17" priority="42" operator="lessThan">
      <formula>0</formula>
    </cfRule>
  </conditionalFormatting>
  <conditionalFormatting sqref="F38:Z61">
    <cfRule type="cellIs" dxfId="16" priority="1" operator="lessThan">
      <formula>0</formula>
    </cfRule>
  </conditionalFormatting>
  <conditionalFormatting sqref="F2:AC3">
    <cfRule type="cellIs" dxfId="15" priority="58" operator="lessThan">
      <formula>0</formula>
    </cfRule>
  </conditionalFormatting>
  <conditionalFormatting sqref="K22:M26">
    <cfRule type="cellIs" dxfId="14" priority="43" operator="lessThan">
      <formula>0</formula>
    </cfRule>
  </conditionalFormatting>
  <conditionalFormatting sqref="K27:N27">
    <cfRule type="cellIs" dxfId="13" priority="60" operator="lessThan">
      <formula>0</formula>
    </cfRule>
  </conditionalFormatting>
  <conditionalFormatting sqref="O23:Q27">
    <cfRule type="cellIs" dxfId="12" priority="61" operator="lessThan">
      <formula>0</formula>
    </cfRule>
  </conditionalFormatting>
  <conditionalFormatting sqref="R23:Z37">
    <cfRule type="cellIs" dxfId="11" priority="36" operator="lessThan">
      <formula>0</formula>
    </cfRule>
  </conditionalFormatting>
  <conditionalFormatting sqref="U5:W18">
    <cfRule type="cellIs" dxfId="10" priority="52" operator="lessThan">
      <formula>0</formula>
    </cfRule>
  </conditionalFormatting>
  <conditionalFormatting sqref="X5:Z22">
    <cfRule type="cellIs" dxfId="9" priority="38" operator="lessThan">
      <formula>0</formula>
    </cfRule>
  </conditionalFormatting>
  <conditionalFormatting sqref="AA5:AC21">
    <cfRule type="cellIs" dxfId="8" priority="31" operator="lessThan">
      <formula>0</formula>
    </cfRule>
  </conditionalFormatting>
  <conditionalFormatting sqref="AA22:AL34">
    <cfRule type="cellIs" dxfId="7" priority="26" operator="lessThan">
      <formula>0</formula>
    </cfRule>
  </conditionalFormatting>
  <conditionalFormatting sqref="AA35:BP61">
    <cfRule type="cellIs" dxfId="6" priority="11" operator="lessThan">
      <formula>0</formula>
    </cfRule>
  </conditionalFormatting>
  <conditionalFormatting sqref="AD20:AF21 N22:W22 I22:J34">
    <cfRule type="cellIs" dxfId="5" priority="59" operator="lessThan">
      <formula>0</formula>
    </cfRule>
  </conditionalFormatting>
  <conditionalFormatting sqref="AD2:AR19 F19:W21">
    <cfRule type="cellIs" dxfId="4" priority="51" operator="lessThan">
      <formula>0</formula>
    </cfRule>
  </conditionalFormatting>
  <conditionalFormatting sqref="AG21:AL21">
    <cfRule type="cellIs" dxfId="3" priority="28" operator="lessThan">
      <formula>0</formula>
    </cfRule>
  </conditionalFormatting>
  <conditionalFormatting sqref="AG20:AR20">
    <cfRule type="cellIs" dxfId="2" priority="50" operator="lessThan">
      <formula>0</formula>
    </cfRule>
  </conditionalFormatting>
  <conditionalFormatting sqref="AM21:BP34">
    <cfRule type="cellIs" dxfId="1" priority="12" operator="lessThan">
      <formula>0</formula>
    </cfRule>
  </conditionalFormatting>
  <conditionalFormatting sqref="AS2:BP20">
    <cfRule type="cellIs" dxfId="0" priority="48" operator="lessThan">
      <formula>0</formula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ixelators xmlns="https://web.wps.cn/et/2018/main" xmlns:s="http://schemas.openxmlformats.org/spreadsheetml/2006/main">
  <pixelatorList sheetStid="8"/>
  <pixelatorList sheetStid="9"/>
  <pixelatorList sheetStid="10"/>
</pixelators>
</file>

<file path=customXml/item2.xml><?xml version="1.0" encoding="utf-8"?>
<woProps xmlns="https://web.wps.cn/et/2018/main" xmlns:s="http://schemas.openxmlformats.org/spreadsheetml/2006/main">
  <woSheetsProps>
    <woSheetProps sheetStid="8" interlineOnOff="0" interlineColor="0" isDbSheet="0"/>
    <woSheetProps sheetStid="9" interlineOnOff="0" interlineColor="0" isDbSheet="0"/>
  </woSheetsProps>
  <woBookProps>
    <bookSettings isFilterShared="1" isAutoUpdatePaused="0" filterType="conn" isMergeTasksAutoUpdate="0"/>
  </woBookProps>
</woProps>
</file>

<file path=customXml/item3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654BEB48-0655-40D0-8359-0A39B96EF3F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文件变更履历</vt:lpstr>
      <vt:lpstr>A样开发计划</vt:lpstr>
      <vt:lpstr>OIL表</vt:lpstr>
      <vt:lpstr>项目成员清单</vt:lpstr>
      <vt:lpstr>技能分析</vt:lpstr>
      <vt:lpstr>文件变更履历!Print_Area</vt:lpstr>
      <vt:lpstr>项目成员清单!Print_Area</vt:lpstr>
    </vt:vector>
  </TitlesOfParts>
  <Company>Human Horizons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DING 丁一</dc:creator>
  <cp:lastModifiedBy>凯 罗</cp:lastModifiedBy>
  <cp:lastPrinted>2024-06-04T07:41:00Z</cp:lastPrinted>
  <dcterms:created xsi:type="dcterms:W3CDTF">2022-01-24T16:01:00Z</dcterms:created>
  <dcterms:modified xsi:type="dcterms:W3CDTF">2026-10-21T06:09:50Z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068EC01C20974225AD564D4578B5F2BD_13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